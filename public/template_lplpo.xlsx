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JUNI 2026" sheetId="1" state="visible" r:id="rId1"/>
  </sheets>
  <externalReferences>
    <externalReference xmlns:r="http://schemas.openxmlformats.org/officeDocument/2006/relationships" r:id="rId2"/>
  </externalReferences>
  <definedNames>
    <definedName name="A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charset val="134"/>
      <color theme="1"/>
      <sz val="11"/>
      <scheme val="minor"/>
    </font>
    <font>
      <name val="Arial"/>
      <charset val="134"/>
      <b val="1"/>
      <color theme="1"/>
      <sz val="16"/>
    </font>
    <font>
      <name val="Arial"/>
      <charset val="134"/>
      <sz val="9"/>
    </font>
    <font>
      <name val="Arial"/>
      <charset val="134"/>
      <b val="1"/>
      <sz val="12"/>
    </font>
    <font>
      <name val="Calibri"/>
      <charset val="134"/>
      <color theme="1"/>
      <sz val="12"/>
      <scheme val="minor"/>
    </font>
    <font>
      <name val="Calibri"/>
      <charset val="134"/>
      <b val="1"/>
      <color theme="1"/>
      <sz val="11"/>
      <scheme val="minor"/>
    </font>
    <font>
      <name val="Arial"/>
      <charset val="134"/>
      <b val="1"/>
      <color theme="1"/>
      <sz val="12"/>
    </font>
    <font>
      <name val="Arial"/>
      <charset val="134"/>
      <b val="1"/>
      <i val="1"/>
      <color theme="1"/>
      <sz val="10"/>
    </font>
    <font>
      <name val="Calibri"/>
      <charset val="134"/>
      <sz val="11"/>
      <scheme val="minor"/>
    </font>
    <font>
      <name val="Arial"/>
      <charset val="134"/>
      <color theme="1"/>
      <sz val="12"/>
    </font>
    <font>
      <name val="Arial"/>
      <charset val="134"/>
      <color rgb="FF000000"/>
      <sz val="12"/>
    </font>
    <font>
      <name val="Arial"/>
      <family val="2"/>
      <b val="1"/>
      <color theme="1"/>
      <sz val="12"/>
    </font>
    <font>
      <name val="Arial"/>
      <charset val="134"/>
      <sz val="10"/>
    </font>
    <font>
      <name val="Arial"/>
      <charset val="134"/>
      <b val="1"/>
      <color rgb="FF000000"/>
      <sz val="12"/>
    </font>
    <font>
      <name val="Arial"/>
      <charset val="134"/>
      <color indexed="10"/>
      <sz val="9"/>
    </font>
    <font>
      <name val="Calibri"/>
      <family val="2"/>
      <b val="1"/>
      <color theme="1"/>
      <sz val="12"/>
      <scheme val="minor"/>
    </font>
    <font>
      <name val="Arial"/>
      <family val="2"/>
      <color theme="1"/>
      <sz val="12"/>
    </font>
    <font>
      <name val="Arial"/>
      <charset val="134"/>
      <color theme="1"/>
      <sz val="9"/>
    </font>
    <font>
      <name val="Arial"/>
      <charset val="134"/>
      <b val="1"/>
      <color theme="1"/>
      <sz val="12"/>
      <u val="single"/>
    </font>
    <font>
      <name val="Arial"/>
      <charset val="134"/>
      <b val="1"/>
      <sz val="9"/>
    </font>
    <font>
      <name val="Arial"/>
      <charset val="134"/>
      <color indexed="8"/>
      <sz val="10"/>
    </font>
    <font>
      <name val="Arial"/>
      <charset val="134"/>
      <sz val="8"/>
    </font>
    <font>
      <name val="Arial"/>
      <charset val="134"/>
      <b val="1"/>
      <sz val="8"/>
    </font>
  </fonts>
  <fills count="8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indexed="1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5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wrapText="1"/>
    </xf>
    <xf numFmtId="0" fontId="7" fillId="0" borderId="3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vertical="center" wrapText="1"/>
    </xf>
    <xf numFmtId="0" fontId="6" fillId="0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1" fontId="6" fillId="4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wrapText="1"/>
    </xf>
    <xf numFmtId="0" fontId="12" fillId="0" borderId="0" pivotButton="0" quotePrefix="0" xfId="0"/>
    <xf numFmtId="0" fontId="9" fillId="0" borderId="7" applyAlignment="1" pivotButton="0" quotePrefix="0" xfId="0">
      <alignment horizontal="center" vertical="center" wrapText="1"/>
    </xf>
    <xf numFmtId="0" fontId="9" fillId="3" borderId="7" applyAlignment="1" pivotButton="0" quotePrefix="0" xfId="0">
      <alignment vertical="center" wrapText="1"/>
    </xf>
    <xf numFmtId="0" fontId="13" fillId="0" borderId="7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1" fillId="0" borderId="7" applyAlignment="1" pivotButton="0" quotePrefix="0" xfId="0">
      <alignment wrapText="1"/>
    </xf>
    <xf numFmtId="0" fontId="2" fillId="5" borderId="0" pivotButton="0" quotePrefix="0" xfId="0"/>
    <xf numFmtId="0" fontId="6" fillId="0" borderId="7" applyAlignment="1" pivotButton="0" quotePrefix="0" xfId="0">
      <alignment horizontal="center" vertical="center" wrapText="1"/>
    </xf>
    <xf numFmtId="0" fontId="14" fillId="5" borderId="0" pivotButton="0" quotePrefix="0" xfId="0"/>
    <xf numFmtId="0" fontId="9" fillId="0" borderId="7" applyAlignment="1" pivotButton="0" quotePrefix="0" xfId="0">
      <alignment vertical="center" wrapText="1"/>
    </xf>
    <xf numFmtId="0" fontId="14" fillId="0" borderId="0" pivotButton="0" quotePrefix="0" xfId="0"/>
    <xf numFmtId="0" fontId="6" fillId="3" borderId="7" applyAlignment="1" pivotButton="0" quotePrefix="0" xfId="0">
      <alignment horizontal="center" vertical="center" wrapText="1"/>
    </xf>
    <xf numFmtId="0" fontId="2" fillId="3" borderId="0" pivotButton="0" quotePrefix="0" xfId="0"/>
    <xf numFmtId="0" fontId="9" fillId="3" borderId="7" applyAlignment="1" pivotButton="0" quotePrefix="0" xfId="0">
      <alignment vertical="top" wrapText="1"/>
    </xf>
    <xf numFmtId="0" fontId="9" fillId="0" borderId="7" applyAlignment="1" pivotButton="0" quotePrefix="0" xfId="0">
      <alignment wrapText="1"/>
    </xf>
    <xf numFmtId="0" fontId="6" fillId="0" borderId="7" applyAlignment="1" pivotButton="0" quotePrefix="0" xfId="0">
      <alignment horizontal="center" wrapText="1"/>
    </xf>
    <xf numFmtId="0" fontId="6" fillId="0" borderId="8" applyAlignment="1" pivotButton="0" quotePrefix="0" xfId="0">
      <alignment horizontal="center" vertical="center" wrapText="1"/>
    </xf>
    <xf numFmtId="0" fontId="9" fillId="6" borderId="7" applyAlignment="1" pivotButton="0" quotePrefix="0" xfId="0">
      <alignment horizontal="center" vertical="center" wrapText="1"/>
    </xf>
    <xf numFmtId="0" fontId="6" fillId="6" borderId="7" applyAlignment="1" pivotButton="0" quotePrefix="0" xfId="0">
      <alignment horizontal="center" vertical="center" wrapText="1"/>
    </xf>
    <xf numFmtId="0" fontId="6" fillId="6" borderId="8" applyAlignment="1" pivotButton="0" quotePrefix="0" xfId="0">
      <alignment wrapText="1"/>
    </xf>
    <xf numFmtId="0" fontId="11" fillId="6" borderId="9" applyAlignment="1" pivotButton="0" quotePrefix="0" xfId="0">
      <alignment wrapText="1"/>
    </xf>
    <xf numFmtId="0" fontId="6" fillId="6" borderId="9" applyAlignment="1" pivotButton="0" quotePrefix="0" xfId="0">
      <alignment wrapText="1"/>
    </xf>
    <xf numFmtId="0" fontId="11" fillId="6" borderId="10" applyAlignment="1" pivotButton="0" quotePrefix="0" xfId="0">
      <alignment wrapText="1"/>
    </xf>
    <xf numFmtId="0" fontId="13" fillId="3" borderId="7" applyAlignment="1" pivotButton="0" quotePrefix="0" xfId="0">
      <alignment horizontal="center" vertical="center" wrapText="1"/>
    </xf>
    <xf numFmtId="0" fontId="6" fillId="6" borderId="8" applyAlignment="1" pivotButton="0" quotePrefix="0" xfId="0">
      <alignment vertical="center" wrapText="1"/>
    </xf>
    <xf numFmtId="0" fontId="11" fillId="6" borderId="9" applyAlignment="1" pivotButton="0" quotePrefix="0" xfId="0">
      <alignment vertical="center" wrapText="1"/>
    </xf>
    <xf numFmtId="0" fontId="6" fillId="6" borderId="9" applyAlignment="1" pivotButton="0" quotePrefix="0" xfId="0">
      <alignment vertical="center" wrapText="1"/>
    </xf>
    <xf numFmtId="0" fontId="11" fillId="6" borderId="10" applyAlignment="1" pivotButton="0" quotePrefix="0" xfId="0">
      <alignment vertical="center" wrapText="1"/>
    </xf>
    <xf numFmtId="0" fontId="9" fillId="0" borderId="7" pivotButton="0" quotePrefix="0" xfId="0"/>
    <xf numFmtId="0" fontId="6" fillId="0" borderId="7" applyAlignment="1" pivotButton="0" quotePrefix="0" xfId="0">
      <alignment horizontal="center"/>
    </xf>
    <xf numFmtId="0" fontId="11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11" fillId="0" borderId="7" pivotButton="0" quotePrefix="0" xfId="0"/>
    <xf numFmtId="0" fontId="6" fillId="0" borderId="8" applyAlignment="1" pivotButton="0" quotePrefix="0" xfId="0">
      <alignment horizontal="center"/>
    </xf>
    <xf numFmtId="0" fontId="11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11" fillId="0" borderId="10" pivotButton="0" quotePrefix="0" xfId="0"/>
    <xf numFmtId="0" fontId="9" fillId="6" borderId="7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/>
    </xf>
    <xf numFmtId="0" fontId="6" fillId="6" borderId="8" applyAlignment="1" pivotButton="0" quotePrefix="0" xfId="0">
      <alignment vertical="center"/>
    </xf>
    <xf numFmtId="0" fontId="11" fillId="6" borderId="9" applyAlignment="1" pivotButton="0" quotePrefix="0" xfId="0">
      <alignment vertical="center"/>
    </xf>
    <xf numFmtId="0" fontId="6" fillId="6" borderId="9" applyAlignment="1" pivotButton="0" quotePrefix="0" xfId="0">
      <alignment vertical="center"/>
    </xf>
    <xf numFmtId="0" fontId="11" fillId="6" borderId="10" applyAlignment="1" pivotButton="0" quotePrefix="0" xfId="0">
      <alignment vertical="center"/>
    </xf>
    <xf numFmtId="0" fontId="9" fillId="0" borderId="7" applyAlignment="1" pivotButton="0" quotePrefix="0" xfId="0">
      <alignment horizontal="center" vertical="center"/>
    </xf>
    <xf numFmtId="0" fontId="13" fillId="3" borderId="7" applyAlignment="1" pivotButton="0" quotePrefix="0" xfId="0">
      <alignment horizontal="center" vertical="center"/>
    </xf>
    <xf numFmtId="0" fontId="9" fillId="3" borderId="7" applyAlignment="1" pivotButton="0" quotePrefix="0" xfId="0">
      <alignment vertical="center"/>
    </xf>
    <xf numFmtId="0" fontId="13" fillId="0" borderId="7" applyAlignment="1" pivotButton="0" quotePrefix="0" xfId="0">
      <alignment horizontal="center" vertical="center"/>
    </xf>
    <xf numFmtId="0" fontId="10" fillId="0" borderId="7" applyAlignment="1" pivotButton="0" quotePrefix="0" xfId="0">
      <alignment vertical="center" wrapText="1"/>
    </xf>
    <xf numFmtId="0" fontId="6" fillId="6" borderId="8" pivotButton="0" quotePrefix="0" xfId="0"/>
    <xf numFmtId="0" fontId="11" fillId="6" borderId="9" pivotButton="0" quotePrefix="0" xfId="0"/>
    <xf numFmtId="0" fontId="6" fillId="6" borderId="9" pivotButton="0" quotePrefix="0" xfId="0"/>
    <xf numFmtId="0" fontId="11" fillId="6" borderId="10" pivotButton="0" quotePrefix="0" xfId="0"/>
    <xf numFmtId="0" fontId="11" fillId="0" borderId="8" applyAlignment="1" pivotButton="0" quotePrefix="0" xfId="0">
      <alignment horizontal="center" vertical="center"/>
    </xf>
    <xf numFmtId="0" fontId="10" fillId="3" borderId="7" applyAlignment="1" pivotButton="0" quotePrefix="0" xfId="0">
      <alignment vertical="center" wrapText="1"/>
    </xf>
    <xf numFmtId="0" fontId="9" fillId="0" borderId="11" pivotButton="0" quotePrefix="0" xfId="0"/>
    <xf numFmtId="0" fontId="13" fillId="0" borderId="11" applyAlignment="1" pivotButton="0" quotePrefix="0" xfId="0">
      <alignment horizontal="center"/>
    </xf>
    <xf numFmtId="0" fontId="11" fillId="0" borderId="11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 wrapText="1"/>
    </xf>
    <xf numFmtId="1" fontId="6" fillId="4" borderId="13" applyAlignment="1" pivotButton="0" quotePrefix="0" xfId="0">
      <alignment horizontal="center" vertical="center" wrapText="1"/>
    </xf>
    <xf numFmtId="0" fontId="11" fillId="0" borderId="11" pivotButton="0" quotePrefix="0" xfId="0"/>
    <xf numFmtId="0" fontId="9" fillId="0" borderId="8" pivotButton="0" quotePrefix="0" xfId="0"/>
    <xf numFmtId="0" fontId="13" fillId="0" borderId="8" applyAlignment="1" pivotButton="0" quotePrefix="0" xfId="0">
      <alignment horizontal="center"/>
    </xf>
    <xf numFmtId="0" fontId="6" fillId="4" borderId="8" applyAlignment="1" pivotButton="0" quotePrefix="0" xfId="0">
      <alignment horizontal="center" vertical="center" wrapText="1"/>
    </xf>
    <xf numFmtId="1" fontId="6" fillId="4" borderId="8" applyAlignment="1" pivotButton="0" quotePrefix="0" xfId="0">
      <alignment horizontal="center" vertical="center" wrapText="1"/>
    </xf>
    <xf numFmtId="0" fontId="15" fillId="0" borderId="14" pivotButton="0" quotePrefix="0" xfId="0"/>
    <xf numFmtId="0" fontId="2" fillId="0" borderId="12" pivotButton="0" quotePrefix="0" xfId="0"/>
    <xf numFmtId="0" fontId="9" fillId="0" borderId="9" pivotButton="0" quotePrefix="0" xfId="0"/>
    <xf numFmtId="0" fontId="9" fillId="0" borderId="8" applyAlignment="1" pivotButton="0" quotePrefix="0" xfId="0">
      <alignment horizontal="center"/>
    </xf>
    <xf numFmtId="0" fontId="16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/>
    </xf>
    <xf numFmtId="0" fontId="16" fillId="0" borderId="1" pivotButton="0" quotePrefix="0" xfId="0"/>
    <xf numFmtId="0" fontId="9" fillId="6" borderId="1" applyAlignment="1" pivotButton="0" quotePrefix="0" xfId="0">
      <alignment horizontal="center" vertical="center"/>
    </xf>
    <xf numFmtId="0" fontId="9" fillId="6" borderId="1" pivotButton="0" quotePrefix="0" xfId="0"/>
    <xf numFmtId="0" fontId="9" fillId="6" borderId="1" applyAlignment="1" pivotButton="0" quotePrefix="0" xfId="0">
      <alignment horizontal="center"/>
    </xf>
    <xf numFmtId="0" fontId="16" fillId="6" borderId="1" applyAlignment="1" pivotButton="0" quotePrefix="0" xfId="0">
      <alignment horizontal="center" vertical="center"/>
    </xf>
    <xf numFmtId="0" fontId="9" fillId="6" borderId="15" applyAlignment="1" pivotButton="0" quotePrefix="0" xfId="0">
      <alignment horizontal="center" vertical="center"/>
    </xf>
    <xf numFmtId="0" fontId="16" fillId="6" borderId="1" pivotButton="0" quotePrefix="0" xfId="0"/>
    <xf numFmtId="0" fontId="9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16" fillId="0" borderId="1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 wrapText="1"/>
    </xf>
    <xf numFmtId="1" fontId="6" fillId="4" borderId="1" applyAlignment="1" pivotButton="0" quotePrefix="0" xfId="0">
      <alignment horizontal="center" vertical="center" wrapText="1"/>
    </xf>
    <xf numFmtId="0" fontId="16" fillId="0" borderId="1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3" fillId="0" borderId="16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13" fillId="0" borderId="17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7" fillId="0" borderId="0" pivotButton="0" quotePrefix="0" xfId="0"/>
    <xf numFmtId="0" fontId="18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 wrapText="1"/>
    </xf>
    <xf numFmtId="0" fontId="20" fillId="5" borderId="0" pivotButton="0" quotePrefix="0" xfId="0"/>
    <xf numFmtId="0" fontId="0" fillId="5" borderId="0" applyAlignment="1" pivotButton="0" quotePrefix="0" xfId="0">
      <alignment horizontal="right"/>
    </xf>
    <xf numFmtId="0" fontId="0" fillId="4" borderId="0" pivotButton="0" quotePrefix="0" xfId="0"/>
    <xf numFmtId="0" fontId="0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LPLPO%20MEI%20PKM%20LAMBUYA%202026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EI 2026"/>
      <sheetName val="JUNI 2026"/>
    </sheetNames>
    <sheetDataSet>
      <sheetData sheetId="0">
        <row r="10">
          <cell r="I10">
            <v>0</v>
          </cell>
        </row>
        <row r="11">
          <cell r="I11">
            <v>400</v>
          </cell>
        </row>
        <row r="12">
          <cell r="I12">
            <v>800</v>
          </cell>
        </row>
        <row r="13">
          <cell r="I13">
            <v>0</v>
          </cell>
        </row>
        <row r="14">
          <cell r="I14">
            <v>0</v>
          </cell>
        </row>
        <row r="15">
          <cell r="I15">
            <v>0</v>
          </cell>
        </row>
        <row r="17">
          <cell r="I17">
            <v>0</v>
          </cell>
        </row>
        <row r="18">
          <cell r="I18">
            <v>600</v>
          </cell>
        </row>
        <row r="19">
          <cell r="I19">
            <v>0</v>
          </cell>
        </row>
        <row r="20">
          <cell r="I20">
            <v>0</v>
          </cell>
        </row>
        <row r="21">
          <cell r="I21">
            <v>0</v>
          </cell>
        </row>
        <row r="24">
          <cell r="I24">
            <v>0</v>
          </cell>
        </row>
        <row r="25">
          <cell r="I25">
            <v>0</v>
          </cell>
        </row>
        <row r="26">
          <cell r="I26">
            <v>0</v>
          </cell>
        </row>
        <row r="27">
          <cell r="I27">
            <v>0</v>
          </cell>
        </row>
        <row r="28">
          <cell r="I28">
            <v>13</v>
          </cell>
        </row>
        <row r="29">
          <cell r="I29">
            <v>0</v>
          </cell>
        </row>
        <row r="30">
          <cell r="I30">
            <v>500</v>
          </cell>
        </row>
        <row r="31">
          <cell r="I31">
            <v>0</v>
          </cell>
        </row>
        <row r="32">
          <cell r="I32">
            <v>0</v>
          </cell>
        </row>
        <row r="34">
          <cell r="I34">
            <v>0</v>
          </cell>
        </row>
        <row r="35">
          <cell r="I35">
            <v>20</v>
          </cell>
        </row>
        <row r="36">
          <cell r="I36">
            <v>1</v>
          </cell>
        </row>
        <row r="37">
          <cell r="I37">
            <v>0</v>
          </cell>
        </row>
        <row r="38">
          <cell r="I38">
            <v>0</v>
          </cell>
        </row>
        <row r="39">
          <cell r="I39">
            <v>6900</v>
          </cell>
        </row>
        <row r="40">
          <cell r="I40">
            <v>0</v>
          </cell>
        </row>
        <row r="41">
          <cell r="I41">
            <v>0</v>
          </cell>
        </row>
        <row r="42">
          <cell r="I42">
            <v>0</v>
          </cell>
        </row>
        <row r="43">
          <cell r="I43">
            <v>0</v>
          </cell>
        </row>
        <row r="44">
          <cell r="I44">
            <v>0</v>
          </cell>
        </row>
        <row r="45">
          <cell r="I45">
            <v>0</v>
          </cell>
        </row>
        <row r="47">
          <cell r="I47">
            <v>0</v>
          </cell>
        </row>
        <row r="48">
          <cell r="I48">
            <v>0</v>
          </cell>
        </row>
        <row r="50">
          <cell r="I50">
            <v>0</v>
          </cell>
        </row>
        <row r="51">
          <cell r="I51">
            <v>0</v>
          </cell>
        </row>
        <row r="52">
          <cell r="I52">
            <v>0</v>
          </cell>
        </row>
        <row r="54">
          <cell r="I54">
            <v>0</v>
          </cell>
        </row>
        <row r="55">
          <cell r="I55">
            <v>0</v>
          </cell>
        </row>
        <row r="56">
          <cell r="I56">
            <v>0</v>
          </cell>
        </row>
        <row r="59">
          <cell r="I59">
            <v>0</v>
          </cell>
        </row>
        <row r="60">
          <cell r="I60">
            <v>200</v>
          </cell>
        </row>
        <row r="61">
          <cell r="I61">
            <v>28</v>
          </cell>
        </row>
        <row r="62">
          <cell r="I62">
            <v>0</v>
          </cell>
        </row>
        <row r="63">
          <cell r="I63">
            <v>42</v>
          </cell>
        </row>
        <row r="64">
          <cell r="I64">
            <v>5</v>
          </cell>
        </row>
        <row r="65">
          <cell r="I65">
            <v>0</v>
          </cell>
        </row>
        <row r="66">
          <cell r="I66">
            <v>0</v>
          </cell>
        </row>
        <row r="67">
          <cell r="I67">
            <v>500</v>
          </cell>
        </row>
        <row r="68">
          <cell r="I68">
            <v>0</v>
          </cell>
        </row>
        <row r="69">
          <cell r="I69">
            <v>0</v>
          </cell>
        </row>
        <row r="72">
          <cell r="I72">
            <v>0</v>
          </cell>
        </row>
        <row r="73">
          <cell r="I73">
            <v>0</v>
          </cell>
        </row>
        <row r="74">
          <cell r="I74">
            <v>0</v>
          </cell>
        </row>
        <row r="77">
          <cell r="I77">
            <v>0</v>
          </cell>
        </row>
        <row r="78">
          <cell r="I78">
            <v>0</v>
          </cell>
        </row>
        <row r="79">
          <cell r="I79">
            <v>200</v>
          </cell>
        </row>
        <row r="80">
          <cell r="I80">
            <v>100</v>
          </cell>
        </row>
        <row r="81">
          <cell r="I81">
            <v>32</v>
          </cell>
        </row>
        <row r="82">
          <cell r="I82">
            <v>500</v>
          </cell>
        </row>
        <row r="84">
          <cell r="I84">
            <v>0</v>
          </cell>
        </row>
        <row r="85">
          <cell r="I85">
            <v>0</v>
          </cell>
        </row>
        <row r="86">
          <cell r="I86">
            <v>0</v>
          </cell>
        </row>
        <row r="87">
          <cell r="I87">
            <v>0</v>
          </cell>
        </row>
        <row r="88">
          <cell r="I88">
            <v>0</v>
          </cell>
        </row>
        <row r="89">
          <cell r="I89">
            <v>400</v>
          </cell>
        </row>
        <row r="90">
          <cell r="I90">
            <v>0</v>
          </cell>
        </row>
        <row r="91">
          <cell r="I91">
            <v>0</v>
          </cell>
        </row>
        <row r="92">
          <cell r="I92">
            <v>10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600</v>
          </cell>
        </row>
        <row r="99">
          <cell r="I99">
            <v>600</v>
          </cell>
        </row>
        <row r="100">
          <cell r="I100">
            <v>20</v>
          </cell>
        </row>
        <row r="103">
          <cell r="I103">
            <v>1300</v>
          </cell>
        </row>
        <row r="104">
          <cell r="I104">
            <v>0</v>
          </cell>
        </row>
        <row r="106">
          <cell r="I106">
            <v>0</v>
          </cell>
        </row>
        <row r="107">
          <cell r="I107">
            <v>0</v>
          </cell>
        </row>
        <row r="108">
          <cell r="I108">
            <v>100</v>
          </cell>
        </row>
        <row r="109">
          <cell r="I109">
            <v>900</v>
          </cell>
        </row>
        <row r="110">
          <cell r="I110">
            <v>0</v>
          </cell>
        </row>
        <row r="112">
          <cell r="I112">
            <v>100</v>
          </cell>
        </row>
        <row r="113">
          <cell r="I113">
            <v>200</v>
          </cell>
        </row>
        <row r="114">
          <cell r="I114">
            <v>0</v>
          </cell>
        </row>
        <row r="115">
          <cell r="I115">
            <v>0</v>
          </cell>
        </row>
        <row r="116">
          <cell r="I116">
            <v>0</v>
          </cell>
        </row>
        <row r="117">
          <cell r="I117">
            <v>200</v>
          </cell>
        </row>
        <row r="118">
          <cell r="I118">
            <v>0</v>
          </cell>
        </row>
        <row r="119">
          <cell r="I119">
            <v>0</v>
          </cell>
        </row>
        <row r="120">
          <cell r="I120">
            <v>0</v>
          </cell>
        </row>
        <row r="121">
          <cell r="I121">
            <v>0</v>
          </cell>
        </row>
        <row r="122">
          <cell r="I122">
            <v>25</v>
          </cell>
        </row>
        <row r="124">
          <cell r="I124">
            <v>0</v>
          </cell>
        </row>
        <row r="125">
          <cell r="I125">
            <v>0</v>
          </cell>
        </row>
        <row r="126">
          <cell r="I126">
            <v>0</v>
          </cell>
        </row>
        <row r="127">
          <cell r="I127">
            <v>5</v>
          </cell>
        </row>
        <row r="129">
          <cell r="I129">
            <v>0</v>
          </cell>
        </row>
        <row r="131">
          <cell r="I131">
            <v>0</v>
          </cell>
        </row>
        <row r="132">
          <cell r="I132">
            <v>0</v>
          </cell>
        </row>
        <row r="134">
          <cell r="I134">
            <v>17</v>
          </cell>
        </row>
        <row r="136">
          <cell r="I136">
            <v>0</v>
          </cell>
        </row>
        <row r="137">
          <cell r="I137">
            <v>100</v>
          </cell>
        </row>
        <row r="138">
          <cell r="I138">
            <v>25</v>
          </cell>
        </row>
        <row r="139">
          <cell r="I139">
            <v>23</v>
          </cell>
        </row>
        <row r="140">
          <cell r="I140">
            <v>23</v>
          </cell>
        </row>
        <row r="141">
          <cell r="I141">
            <v>0</v>
          </cell>
        </row>
        <row r="142">
          <cell r="I142">
            <v>400</v>
          </cell>
        </row>
        <row r="143">
          <cell r="I143">
            <v>0</v>
          </cell>
        </row>
        <row r="144">
          <cell r="I144">
            <v>0</v>
          </cell>
        </row>
        <row r="146">
          <cell r="I146">
            <v>0</v>
          </cell>
        </row>
        <row r="148">
          <cell r="I148">
            <v>0</v>
          </cell>
        </row>
        <row r="149">
          <cell r="I149">
            <v>0</v>
          </cell>
        </row>
        <row r="150">
          <cell r="I150">
            <v>0</v>
          </cell>
        </row>
        <row r="151">
          <cell r="I151">
            <v>10</v>
          </cell>
        </row>
        <row r="152">
          <cell r="I152">
            <v>300</v>
          </cell>
        </row>
        <row r="153">
          <cell r="I153">
            <v>18</v>
          </cell>
        </row>
        <row r="154">
          <cell r="I154">
            <v>0</v>
          </cell>
        </row>
        <row r="155">
          <cell r="I155">
            <v>0</v>
          </cell>
        </row>
        <row r="156">
          <cell r="I156">
            <v>0</v>
          </cell>
        </row>
        <row r="157">
          <cell r="I157">
            <v>600</v>
          </cell>
        </row>
        <row r="158">
          <cell r="I158">
            <v>0</v>
          </cell>
        </row>
        <row r="160">
          <cell r="I160">
            <v>0</v>
          </cell>
        </row>
        <row r="161">
          <cell r="I161">
            <v>0</v>
          </cell>
        </row>
        <row r="162">
          <cell r="I162">
            <v>0</v>
          </cell>
        </row>
        <row r="163">
          <cell r="I163">
            <v>0</v>
          </cell>
        </row>
        <row r="164">
          <cell r="I164">
            <v>500</v>
          </cell>
        </row>
        <row r="165">
          <cell r="I165">
            <v>400</v>
          </cell>
        </row>
        <row r="166">
          <cell r="I166">
            <v>4</v>
          </cell>
        </row>
        <row r="169">
          <cell r="I169">
            <v>0</v>
          </cell>
        </row>
        <row r="170">
          <cell r="I170">
            <v>0</v>
          </cell>
        </row>
        <row r="171">
          <cell r="I171">
            <v>2</v>
          </cell>
        </row>
        <row r="174">
          <cell r="I174">
            <v>0</v>
          </cell>
        </row>
        <row r="175">
          <cell r="I175">
            <v>0</v>
          </cell>
        </row>
        <row r="176">
          <cell r="I176">
            <v>1</v>
          </cell>
        </row>
        <row r="177">
          <cell r="I177">
            <v>0</v>
          </cell>
        </row>
        <row r="180">
          <cell r="I180">
            <v>500</v>
          </cell>
        </row>
        <row r="181">
          <cell r="I181">
            <v>0</v>
          </cell>
        </row>
        <row r="182">
          <cell r="I182">
            <v>0</v>
          </cell>
        </row>
        <row r="185">
          <cell r="I185">
            <v>0</v>
          </cell>
        </row>
        <row r="186">
          <cell r="I186">
            <v>0</v>
          </cell>
        </row>
        <row r="189">
          <cell r="I189">
            <v>400</v>
          </cell>
        </row>
        <row r="190">
          <cell r="I190">
            <v>100</v>
          </cell>
        </row>
        <row r="191">
          <cell r="I191">
            <v>0</v>
          </cell>
        </row>
        <row r="193">
          <cell r="I193">
            <v>0</v>
          </cell>
        </row>
        <row r="194">
          <cell r="I194">
            <v>0</v>
          </cell>
        </row>
        <row r="195">
          <cell r="I195">
            <v>100</v>
          </cell>
        </row>
        <row r="196">
          <cell r="I196">
            <v>0</v>
          </cell>
        </row>
        <row r="197">
          <cell r="I197">
            <v>20</v>
          </cell>
        </row>
        <row r="198">
          <cell r="I198">
            <v>100</v>
          </cell>
        </row>
        <row r="200">
          <cell r="I200">
            <v>0</v>
          </cell>
        </row>
        <row r="201">
          <cell r="I201">
            <v>0</v>
          </cell>
        </row>
        <row r="202">
          <cell r="I202">
            <v>0</v>
          </cell>
        </row>
        <row r="203">
          <cell r="I203">
            <v>4</v>
          </cell>
        </row>
        <row r="204">
          <cell r="I204">
            <v>0</v>
          </cell>
        </row>
        <row r="205">
          <cell r="I205">
            <v>0</v>
          </cell>
        </row>
        <row r="206">
          <cell r="I206">
            <v>0</v>
          </cell>
        </row>
        <row r="207">
          <cell r="I207">
            <v>0</v>
          </cell>
        </row>
        <row r="208">
          <cell r="I208">
            <v>0</v>
          </cell>
        </row>
        <row r="209">
          <cell r="I209">
            <v>0</v>
          </cell>
        </row>
        <row r="210">
          <cell r="I210">
            <v>0</v>
          </cell>
        </row>
        <row r="211">
          <cell r="I211">
            <v>0</v>
          </cell>
        </row>
        <row r="214">
          <cell r="I214">
            <v>20</v>
          </cell>
        </row>
        <row r="215">
          <cell r="I215">
            <v>119</v>
          </cell>
        </row>
        <row r="216">
          <cell r="I216">
            <v>19</v>
          </cell>
        </row>
        <row r="217">
          <cell r="I217">
            <v>0</v>
          </cell>
        </row>
        <row r="218">
          <cell r="I218">
            <v>0</v>
          </cell>
        </row>
        <row r="220">
          <cell r="I220">
            <v>0</v>
          </cell>
        </row>
        <row r="221">
          <cell r="I221">
            <v>24</v>
          </cell>
        </row>
        <row r="222">
          <cell r="I222">
            <v>48</v>
          </cell>
        </row>
        <row r="223">
          <cell r="I223">
            <v>0</v>
          </cell>
        </row>
        <row r="224">
          <cell r="I224">
            <v>0</v>
          </cell>
        </row>
        <row r="225">
          <cell r="I225">
            <v>0</v>
          </cell>
        </row>
        <row r="226">
          <cell r="I226">
            <v>0</v>
          </cell>
        </row>
        <row r="227">
          <cell r="I227">
            <v>9</v>
          </cell>
        </row>
        <row r="228">
          <cell r="I228">
            <v>0</v>
          </cell>
        </row>
        <row r="229">
          <cell r="I229">
            <v>90</v>
          </cell>
        </row>
        <row r="230">
          <cell r="I230">
            <v>0</v>
          </cell>
        </row>
        <row r="231">
          <cell r="I231">
            <v>8</v>
          </cell>
        </row>
        <row r="233">
          <cell r="I233">
            <v>0</v>
          </cell>
        </row>
        <row r="235">
          <cell r="I235">
            <v>0</v>
          </cell>
        </row>
        <row r="236">
          <cell r="I236">
            <v>0</v>
          </cell>
        </row>
        <row r="237">
          <cell r="I237">
            <v>5</v>
          </cell>
        </row>
        <row r="238">
          <cell r="I238">
            <v>36</v>
          </cell>
        </row>
        <row r="239">
          <cell r="I239">
            <v>0</v>
          </cell>
        </row>
        <row r="240">
          <cell r="I240">
            <v>0</v>
          </cell>
        </row>
        <row r="241">
          <cell r="I241">
            <v>0</v>
          </cell>
        </row>
        <row r="244">
          <cell r="I244">
            <v>15</v>
          </cell>
        </row>
        <row r="248">
          <cell r="I248">
            <v>5</v>
          </cell>
        </row>
        <row r="249">
          <cell r="I249">
            <v>3</v>
          </cell>
        </row>
        <row r="250">
          <cell r="I250">
            <v>0</v>
          </cell>
        </row>
        <row r="252">
          <cell r="I252">
            <v>340</v>
          </cell>
        </row>
        <row r="255">
          <cell r="I255">
            <v>50</v>
          </cell>
        </row>
        <row r="256">
          <cell r="I256">
            <v>0</v>
          </cell>
        </row>
        <row r="257">
          <cell r="I257">
            <v>14</v>
          </cell>
        </row>
        <row r="258">
          <cell r="I258">
            <v>28</v>
          </cell>
        </row>
        <row r="259">
          <cell r="I259">
            <v>0</v>
          </cell>
        </row>
        <row r="260">
          <cell r="I260">
            <v>0</v>
          </cell>
        </row>
        <row r="263">
          <cell r="I263">
            <v>0</v>
          </cell>
        </row>
        <row r="264">
          <cell r="I264">
            <v>0</v>
          </cell>
        </row>
        <row r="265">
          <cell r="I265">
            <v>5</v>
          </cell>
        </row>
        <row r="268">
          <cell r="I268">
            <v>0</v>
          </cell>
        </row>
        <row r="269">
          <cell r="I269">
            <v>0</v>
          </cell>
        </row>
        <row r="270">
          <cell r="I270">
            <v>0</v>
          </cell>
        </row>
        <row r="271">
          <cell r="I271">
            <v>0</v>
          </cell>
        </row>
        <row r="272">
          <cell r="I272">
            <v>0</v>
          </cell>
        </row>
        <row r="273">
          <cell r="I273">
            <v>100</v>
          </cell>
        </row>
        <row r="275">
          <cell r="I275">
            <v>0</v>
          </cell>
        </row>
        <row r="276">
          <cell r="I276">
            <v>0</v>
          </cell>
        </row>
        <row r="277">
          <cell r="I277">
            <v>500</v>
          </cell>
        </row>
        <row r="279">
          <cell r="I279">
            <v>0</v>
          </cell>
        </row>
        <row r="280">
          <cell r="I280">
            <v>200</v>
          </cell>
        </row>
        <row r="281">
          <cell r="I281">
            <v>200</v>
          </cell>
        </row>
        <row r="283">
          <cell r="I283">
            <v>25</v>
          </cell>
        </row>
        <row r="284">
          <cell r="I284">
            <v>0</v>
          </cell>
        </row>
        <row r="285">
          <cell r="I285">
            <v>0</v>
          </cell>
        </row>
        <row r="286">
          <cell r="I286">
            <v>0</v>
          </cell>
        </row>
        <row r="287">
          <cell r="I287">
            <v>500</v>
          </cell>
        </row>
        <row r="288">
          <cell r="I288">
            <v>0</v>
          </cell>
        </row>
        <row r="289">
          <cell r="I289">
            <v>0</v>
          </cell>
        </row>
        <row r="291">
          <cell r="I291">
            <v>7</v>
          </cell>
        </row>
        <row r="292">
          <cell r="I292">
            <v>8</v>
          </cell>
        </row>
        <row r="293">
          <cell r="I293">
            <v>3</v>
          </cell>
        </row>
        <row r="294">
          <cell r="I294">
            <v>7</v>
          </cell>
        </row>
        <row r="295">
          <cell r="I295">
            <v>3</v>
          </cell>
        </row>
        <row r="296">
          <cell r="I296">
            <v>6</v>
          </cell>
        </row>
        <row r="297">
          <cell r="I297">
            <v>10</v>
          </cell>
        </row>
        <row r="298">
          <cell r="I298">
            <v>15</v>
          </cell>
        </row>
        <row r="301">
          <cell r="I301">
            <v>0</v>
          </cell>
        </row>
        <row r="302">
          <cell r="I302">
            <v>0</v>
          </cell>
        </row>
        <row r="303">
          <cell r="I303">
            <v>0</v>
          </cell>
        </row>
        <row r="304">
          <cell r="I304">
            <v>0</v>
          </cell>
        </row>
        <row r="305">
          <cell r="I305">
            <v>0</v>
          </cell>
        </row>
        <row r="306">
          <cell r="I306">
            <v>0</v>
          </cell>
        </row>
        <row r="307">
          <cell r="I307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5"/>
  <sheetViews>
    <sheetView tabSelected="1" workbookViewId="0">
      <selection activeCell="F8" sqref="F8"/>
    </sheetView>
  </sheetViews>
  <sheetFormatPr baseColWidth="8" defaultColWidth="7.42578125" defaultRowHeight="17.1" customHeight="1"/>
  <cols>
    <col width="2" customWidth="1" min="1" max="1"/>
    <col width="7.42578125" customWidth="1" style="131" min="2" max="2"/>
    <col width="42.5703125" customWidth="1" style="131" min="3" max="3"/>
    <col width="9" customWidth="1" min="4" max="4"/>
    <col width="10.7109375" customWidth="1" min="5" max="5"/>
    <col width="17.7109375" customWidth="1" style="132" min="6" max="6"/>
    <col width="16.7109375" customWidth="1" min="7" max="7"/>
    <col width="16" bestFit="1" customWidth="1" min="8" max="8"/>
    <col width="16.5703125" customWidth="1" style="133" min="9" max="9"/>
    <col width="11.42578125" customWidth="1" min="10" max="10"/>
    <col width="13.42578125" customWidth="1" min="11" max="11"/>
    <col width="13.7109375" customWidth="1" style="134" min="12" max="12"/>
    <col width="0.140625" customWidth="1" style="134" min="13" max="13"/>
    <col width="12.140625" customWidth="1" min="14" max="14"/>
    <col width="10.140625" customWidth="1" style="135" min="15" max="15"/>
    <col width="13.28515625" customWidth="1" style="136" min="16" max="16"/>
    <col width="31" customWidth="1" min="20" max="20"/>
    <col width="9" customWidth="1" min="21" max="21"/>
    <col width="7.85546875" customWidth="1" min="22" max="22"/>
    <col width="9.5703125" customWidth="1" min="24" max="24"/>
    <col width="10.42578125" customWidth="1" min="25" max="25"/>
    <col width="9.140625" customWidth="1" min="26" max="26"/>
    <col width="10.42578125" customWidth="1" min="27" max="27"/>
    <col width="10.7109375" customWidth="1" min="28" max="28"/>
    <col width="4.85546875" customWidth="1" min="246" max="246"/>
    <col width="17.42578125" customWidth="1" min="247" max="247"/>
    <col width="28" customWidth="1" min="248" max="248"/>
    <col width="10.42578125" customWidth="1" min="249" max="249"/>
    <col width="12.28515625" customWidth="1" min="250" max="250"/>
    <col width="13.7109375" customWidth="1" min="251" max="251"/>
    <col width="11.7109375" customWidth="1" min="252" max="252"/>
    <col width="12.7109375" customWidth="1" min="253" max="253"/>
    <col width="16.42578125" customWidth="1" min="254" max="254"/>
    <col hidden="1" width="7.42578125" customWidth="1" min="255" max="258"/>
    <col width="12.42578125" customWidth="1" min="259" max="259"/>
    <col width="10.42578125" customWidth="1" min="260" max="260"/>
    <col width="11.7109375" customWidth="1" min="261" max="261"/>
    <col width="4.85546875" customWidth="1" min="502" max="502"/>
    <col width="17.42578125" customWidth="1" min="503" max="503"/>
    <col width="28" customWidth="1" min="504" max="504"/>
    <col width="10.42578125" customWidth="1" min="505" max="505"/>
    <col width="12.28515625" customWidth="1" min="506" max="506"/>
    <col width="13.7109375" customWidth="1" min="507" max="507"/>
    <col width="11.7109375" customWidth="1" min="508" max="508"/>
    <col width="12.7109375" customWidth="1" min="509" max="509"/>
    <col width="16.42578125" customWidth="1" min="510" max="510"/>
    <col hidden="1" width="7.42578125" customWidth="1" min="511" max="514"/>
    <col width="12.42578125" customWidth="1" min="515" max="515"/>
    <col width="10.42578125" customWidth="1" min="516" max="516"/>
    <col width="11.7109375" customWidth="1" min="517" max="517"/>
    <col width="4.85546875" customWidth="1" min="758" max="758"/>
    <col width="17.42578125" customWidth="1" min="759" max="759"/>
    <col width="28" customWidth="1" min="760" max="760"/>
    <col width="10.42578125" customWidth="1" min="761" max="761"/>
    <col width="12.28515625" customWidth="1" min="762" max="762"/>
    <col width="13.7109375" customWidth="1" min="763" max="763"/>
    <col width="11.7109375" customWidth="1" min="764" max="764"/>
    <col width="12.7109375" customWidth="1" min="765" max="765"/>
    <col width="16.42578125" customWidth="1" min="766" max="766"/>
    <col hidden="1" width="7.42578125" customWidth="1" min="767" max="770"/>
    <col width="12.42578125" customWidth="1" min="771" max="771"/>
    <col width="10.42578125" customWidth="1" min="772" max="772"/>
    <col width="11.7109375" customWidth="1" min="773" max="773"/>
    <col width="4.85546875" customWidth="1" min="1014" max="1014"/>
    <col width="17.42578125" customWidth="1" min="1015" max="1015"/>
    <col width="28" customWidth="1" min="1016" max="1016"/>
    <col width="10.42578125" customWidth="1" min="1017" max="1017"/>
    <col width="12.28515625" customWidth="1" min="1018" max="1018"/>
    <col width="13.7109375" customWidth="1" min="1019" max="1019"/>
    <col width="11.7109375" customWidth="1" min="1020" max="1020"/>
    <col width="12.7109375" customWidth="1" min="1021" max="1021"/>
    <col width="16.42578125" customWidth="1" min="1022" max="1022"/>
    <col hidden="1" width="7.42578125" customWidth="1" min="1023" max="1026"/>
    <col width="12.42578125" customWidth="1" min="1027" max="1027"/>
    <col width="10.42578125" customWidth="1" min="1028" max="1028"/>
    <col width="11.7109375" customWidth="1" min="1029" max="1029"/>
    <col width="4.85546875" customWidth="1" min="1270" max="1270"/>
    <col width="17.42578125" customWidth="1" min="1271" max="1271"/>
    <col width="28" customWidth="1" min="1272" max="1272"/>
    <col width="10.42578125" customWidth="1" min="1273" max="1273"/>
    <col width="12.28515625" customWidth="1" min="1274" max="1274"/>
    <col width="13.7109375" customWidth="1" min="1275" max="1275"/>
    <col width="11.7109375" customWidth="1" min="1276" max="1276"/>
    <col width="12.7109375" customWidth="1" min="1277" max="1277"/>
    <col width="16.42578125" customWidth="1" min="1278" max="1278"/>
    <col hidden="1" width="7.42578125" customWidth="1" min="1279" max="1282"/>
    <col width="12.42578125" customWidth="1" min="1283" max="1283"/>
    <col width="10.42578125" customWidth="1" min="1284" max="1284"/>
    <col width="11.7109375" customWidth="1" min="1285" max="1285"/>
    <col width="4.85546875" customWidth="1" min="1526" max="1526"/>
    <col width="17.42578125" customWidth="1" min="1527" max="1527"/>
    <col width="28" customWidth="1" min="1528" max="1528"/>
    <col width="10.42578125" customWidth="1" min="1529" max="1529"/>
    <col width="12.28515625" customWidth="1" min="1530" max="1530"/>
    <col width="13.7109375" customWidth="1" min="1531" max="1531"/>
    <col width="11.7109375" customWidth="1" min="1532" max="1532"/>
    <col width="12.7109375" customWidth="1" min="1533" max="1533"/>
    <col width="16.42578125" customWidth="1" min="1534" max="1534"/>
    <col hidden="1" width="7.42578125" customWidth="1" min="1535" max="1538"/>
    <col width="12.42578125" customWidth="1" min="1539" max="1539"/>
    <col width="10.42578125" customWidth="1" min="1540" max="1540"/>
    <col width="11.7109375" customWidth="1" min="1541" max="1541"/>
    <col width="4.85546875" customWidth="1" min="1782" max="1782"/>
    <col width="17.42578125" customWidth="1" min="1783" max="1783"/>
    <col width="28" customWidth="1" min="1784" max="1784"/>
    <col width="10.42578125" customWidth="1" min="1785" max="1785"/>
    <col width="12.28515625" customWidth="1" min="1786" max="1786"/>
    <col width="13.7109375" customWidth="1" min="1787" max="1787"/>
    <col width="11.7109375" customWidth="1" min="1788" max="1788"/>
    <col width="12.7109375" customWidth="1" min="1789" max="1789"/>
    <col width="16.42578125" customWidth="1" min="1790" max="1790"/>
    <col hidden="1" width="7.42578125" customWidth="1" min="1791" max="1794"/>
    <col width="12.42578125" customWidth="1" min="1795" max="1795"/>
    <col width="10.42578125" customWidth="1" min="1796" max="1796"/>
    <col width="11.7109375" customWidth="1" min="1797" max="1797"/>
    <col width="4.85546875" customWidth="1" min="2038" max="2038"/>
    <col width="17.42578125" customWidth="1" min="2039" max="2039"/>
    <col width="28" customWidth="1" min="2040" max="2040"/>
    <col width="10.42578125" customWidth="1" min="2041" max="2041"/>
    <col width="12.28515625" customWidth="1" min="2042" max="2042"/>
    <col width="13.7109375" customWidth="1" min="2043" max="2043"/>
    <col width="11.7109375" customWidth="1" min="2044" max="2044"/>
    <col width="12.7109375" customWidth="1" min="2045" max="2045"/>
    <col width="16.42578125" customWidth="1" min="2046" max="2046"/>
    <col hidden="1" width="7.42578125" customWidth="1" min="2047" max="2050"/>
    <col width="12.42578125" customWidth="1" min="2051" max="2051"/>
    <col width="10.42578125" customWidth="1" min="2052" max="2052"/>
    <col width="11.7109375" customWidth="1" min="2053" max="2053"/>
    <col width="4.85546875" customWidth="1" min="2294" max="2294"/>
    <col width="17.42578125" customWidth="1" min="2295" max="2295"/>
    <col width="28" customWidth="1" min="2296" max="2296"/>
    <col width="10.42578125" customWidth="1" min="2297" max="2297"/>
    <col width="12.28515625" customWidth="1" min="2298" max="2298"/>
    <col width="13.7109375" customWidth="1" min="2299" max="2299"/>
    <col width="11.7109375" customWidth="1" min="2300" max="2300"/>
    <col width="12.7109375" customWidth="1" min="2301" max="2301"/>
    <col width="16.42578125" customWidth="1" min="2302" max="2302"/>
    <col hidden="1" width="7.42578125" customWidth="1" min="2303" max="2306"/>
    <col width="12.42578125" customWidth="1" min="2307" max="2307"/>
    <col width="10.42578125" customWidth="1" min="2308" max="2308"/>
    <col width="11.7109375" customWidth="1" min="2309" max="2309"/>
    <col width="4.85546875" customWidth="1" min="2550" max="2550"/>
    <col width="17.42578125" customWidth="1" min="2551" max="2551"/>
    <col width="28" customWidth="1" min="2552" max="2552"/>
    <col width="10.42578125" customWidth="1" min="2553" max="2553"/>
    <col width="12.28515625" customWidth="1" min="2554" max="2554"/>
    <col width="13.7109375" customWidth="1" min="2555" max="2555"/>
    <col width="11.7109375" customWidth="1" min="2556" max="2556"/>
    <col width="12.7109375" customWidth="1" min="2557" max="2557"/>
    <col width="16.42578125" customWidth="1" min="2558" max="2558"/>
    <col hidden="1" width="7.42578125" customWidth="1" min="2559" max="2562"/>
    <col width="12.42578125" customWidth="1" min="2563" max="2563"/>
    <col width="10.42578125" customWidth="1" min="2564" max="2564"/>
    <col width="11.7109375" customWidth="1" min="2565" max="2565"/>
    <col width="4.85546875" customWidth="1" min="2806" max="2806"/>
    <col width="17.42578125" customWidth="1" min="2807" max="2807"/>
    <col width="28" customWidth="1" min="2808" max="2808"/>
    <col width="10.42578125" customWidth="1" min="2809" max="2809"/>
    <col width="12.28515625" customWidth="1" min="2810" max="2810"/>
    <col width="13.7109375" customWidth="1" min="2811" max="2811"/>
    <col width="11.7109375" customWidth="1" min="2812" max="2812"/>
    <col width="12.7109375" customWidth="1" min="2813" max="2813"/>
    <col width="16.42578125" customWidth="1" min="2814" max="2814"/>
    <col hidden="1" width="7.42578125" customWidth="1" min="2815" max="2818"/>
    <col width="12.42578125" customWidth="1" min="2819" max="2819"/>
    <col width="10.42578125" customWidth="1" min="2820" max="2820"/>
    <col width="11.7109375" customWidth="1" min="2821" max="2821"/>
    <col width="4.85546875" customWidth="1" min="3062" max="3062"/>
    <col width="17.42578125" customWidth="1" min="3063" max="3063"/>
    <col width="28" customWidth="1" min="3064" max="3064"/>
    <col width="10.42578125" customWidth="1" min="3065" max="3065"/>
    <col width="12.28515625" customWidth="1" min="3066" max="3066"/>
    <col width="13.7109375" customWidth="1" min="3067" max="3067"/>
    <col width="11.7109375" customWidth="1" min="3068" max="3068"/>
    <col width="12.7109375" customWidth="1" min="3069" max="3069"/>
    <col width="16.42578125" customWidth="1" min="3070" max="3070"/>
    <col hidden="1" width="7.42578125" customWidth="1" min="3071" max="3074"/>
    <col width="12.42578125" customWidth="1" min="3075" max="3075"/>
    <col width="10.42578125" customWidth="1" min="3076" max="3076"/>
    <col width="11.7109375" customWidth="1" min="3077" max="3077"/>
    <col width="4.85546875" customWidth="1" min="3318" max="3318"/>
    <col width="17.42578125" customWidth="1" min="3319" max="3319"/>
    <col width="28" customWidth="1" min="3320" max="3320"/>
    <col width="10.42578125" customWidth="1" min="3321" max="3321"/>
    <col width="12.28515625" customWidth="1" min="3322" max="3322"/>
    <col width="13.7109375" customWidth="1" min="3323" max="3323"/>
    <col width="11.7109375" customWidth="1" min="3324" max="3324"/>
    <col width="12.7109375" customWidth="1" min="3325" max="3325"/>
    <col width="16.42578125" customWidth="1" min="3326" max="3326"/>
    <col hidden="1" width="7.42578125" customWidth="1" min="3327" max="3330"/>
    <col width="12.42578125" customWidth="1" min="3331" max="3331"/>
    <col width="10.42578125" customWidth="1" min="3332" max="3332"/>
    <col width="11.7109375" customWidth="1" min="3333" max="3333"/>
    <col width="4.85546875" customWidth="1" min="3574" max="3574"/>
    <col width="17.42578125" customWidth="1" min="3575" max="3575"/>
    <col width="28" customWidth="1" min="3576" max="3576"/>
    <col width="10.42578125" customWidth="1" min="3577" max="3577"/>
    <col width="12.28515625" customWidth="1" min="3578" max="3578"/>
    <col width="13.7109375" customWidth="1" min="3579" max="3579"/>
    <col width="11.7109375" customWidth="1" min="3580" max="3580"/>
    <col width="12.7109375" customWidth="1" min="3581" max="3581"/>
    <col width="16.42578125" customWidth="1" min="3582" max="3582"/>
    <col hidden="1" width="7.42578125" customWidth="1" min="3583" max="3586"/>
    <col width="12.42578125" customWidth="1" min="3587" max="3587"/>
    <col width="10.42578125" customWidth="1" min="3588" max="3588"/>
    <col width="11.7109375" customWidth="1" min="3589" max="3589"/>
    <col width="4.85546875" customWidth="1" min="3830" max="3830"/>
    <col width="17.42578125" customWidth="1" min="3831" max="3831"/>
    <col width="28" customWidth="1" min="3832" max="3832"/>
    <col width="10.42578125" customWidth="1" min="3833" max="3833"/>
    <col width="12.28515625" customWidth="1" min="3834" max="3834"/>
    <col width="13.7109375" customWidth="1" min="3835" max="3835"/>
    <col width="11.7109375" customWidth="1" min="3836" max="3836"/>
    <col width="12.7109375" customWidth="1" min="3837" max="3837"/>
    <col width="16.42578125" customWidth="1" min="3838" max="3838"/>
    <col hidden="1" width="7.42578125" customWidth="1" min="3839" max="3842"/>
    <col width="12.42578125" customWidth="1" min="3843" max="3843"/>
    <col width="10.42578125" customWidth="1" min="3844" max="3844"/>
    <col width="11.7109375" customWidth="1" min="3845" max="3845"/>
    <col width="4.85546875" customWidth="1" min="4086" max="4086"/>
    <col width="17.42578125" customWidth="1" min="4087" max="4087"/>
    <col width="28" customWidth="1" min="4088" max="4088"/>
    <col width="10.42578125" customWidth="1" min="4089" max="4089"/>
    <col width="12.28515625" customWidth="1" min="4090" max="4090"/>
    <col width="13.7109375" customWidth="1" min="4091" max="4091"/>
    <col width="11.7109375" customWidth="1" min="4092" max="4092"/>
    <col width="12.7109375" customWidth="1" min="4093" max="4093"/>
    <col width="16.42578125" customWidth="1" min="4094" max="4094"/>
    <col hidden="1" width="7.42578125" customWidth="1" min="4095" max="4098"/>
    <col width="12.42578125" customWidth="1" min="4099" max="4099"/>
    <col width="10.42578125" customWidth="1" min="4100" max="4100"/>
    <col width="11.7109375" customWidth="1" min="4101" max="4101"/>
    <col width="4.85546875" customWidth="1" min="4342" max="4342"/>
    <col width="17.42578125" customWidth="1" min="4343" max="4343"/>
    <col width="28" customWidth="1" min="4344" max="4344"/>
    <col width="10.42578125" customWidth="1" min="4345" max="4345"/>
    <col width="12.28515625" customWidth="1" min="4346" max="4346"/>
    <col width="13.7109375" customWidth="1" min="4347" max="4347"/>
    <col width="11.7109375" customWidth="1" min="4348" max="4348"/>
    <col width="12.7109375" customWidth="1" min="4349" max="4349"/>
    <col width="16.42578125" customWidth="1" min="4350" max="4350"/>
    <col hidden="1" width="7.42578125" customWidth="1" min="4351" max="4354"/>
    <col width="12.42578125" customWidth="1" min="4355" max="4355"/>
    <col width="10.42578125" customWidth="1" min="4356" max="4356"/>
    <col width="11.7109375" customWidth="1" min="4357" max="4357"/>
    <col width="4.85546875" customWidth="1" min="4598" max="4598"/>
    <col width="17.42578125" customWidth="1" min="4599" max="4599"/>
    <col width="28" customWidth="1" min="4600" max="4600"/>
    <col width="10.42578125" customWidth="1" min="4601" max="4601"/>
    <col width="12.28515625" customWidth="1" min="4602" max="4602"/>
    <col width="13.7109375" customWidth="1" min="4603" max="4603"/>
    <col width="11.7109375" customWidth="1" min="4604" max="4604"/>
    <col width="12.7109375" customWidth="1" min="4605" max="4605"/>
    <col width="16.42578125" customWidth="1" min="4606" max="4606"/>
    <col hidden="1" width="7.42578125" customWidth="1" min="4607" max="4610"/>
    <col width="12.42578125" customWidth="1" min="4611" max="4611"/>
    <col width="10.42578125" customWidth="1" min="4612" max="4612"/>
    <col width="11.7109375" customWidth="1" min="4613" max="4613"/>
    <col width="4.85546875" customWidth="1" min="4854" max="4854"/>
    <col width="17.42578125" customWidth="1" min="4855" max="4855"/>
    <col width="28" customWidth="1" min="4856" max="4856"/>
    <col width="10.42578125" customWidth="1" min="4857" max="4857"/>
    <col width="12.28515625" customWidth="1" min="4858" max="4858"/>
    <col width="13.7109375" customWidth="1" min="4859" max="4859"/>
    <col width="11.7109375" customWidth="1" min="4860" max="4860"/>
    <col width="12.7109375" customWidth="1" min="4861" max="4861"/>
    <col width="16.42578125" customWidth="1" min="4862" max="4862"/>
    <col hidden="1" width="7.42578125" customWidth="1" min="4863" max="4866"/>
    <col width="12.42578125" customWidth="1" min="4867" max="4867"/>
    <col width="10.42578125" customWidth="1" min="4868" max="4868"/>
    <col width="11.7109375" customWidth="1" min="4869" max="4869"/>
    <col width="4.85546875" customWidth="1" min="5110" max="5110"/>
    <col width="17.42578125" customWidth="1" min="5111" max="5111"/>
    <col width="28" customWidth="1" min="5112" max="5112"/>
    <col width="10.42578125" customWidth="1" min="5113" max="5113"/>
    <col width="12.28515625" customWidth="1" min="5114" max="5114"/>
    <col width="13.7109375" customWidth="1" min="5115" max="5115"/>
    <col width="11.7109375" customWidth="1" min="5116" max="5116"/>
    <col width="12.7109375" customWidth="1" min="5117" max="5117"/>
    <col width="16.42578125" customWidth="1" min="5118" max="5118"/>
    <col hidden="1" width="7.42578125" customWidth="1" min="5119" max="5122"/>
    <col width="12.42578125" customWidth="1" min="5123" max="5123"/>
    <col width="10.42578125" customWidth="1" min="5124" max="5124"/>
    <col width="11.7109375" customWidth="1" min="5125" max="5125"/>
    <col width="4.85546875" customWidth="1" min="5366" max="5366"/>
    <col width="17.42578125" customWidth="1" min="5367" max="5367"/>
    <col width="28" customWidth="1" min="5368" max="5368"/>
    <col width="10.42578125" customWidth="1" min="5369" max="5369"/>
    <col width="12.28515625" customWidth="1" min="5370" max="5370"/>
    <col width="13.7109375" customWidth="1" min="5371" max="5371"/>
    <col width="11.7109375" customWidth="1" min="5372" max="5372"/>
    <col width="12.7109375" customWidth="1" min="5373" max="5373"/>
    <col width="16.42578125" customWidth="1" min="5374" max="5374"/>
    <col hidden="1" width="7.42578125" customWidth="1" min="5375" max="5378"/>
    <col width="12.42578125" customWidth="1" min="5379" max="5379"/>
    <col width="10.42578125" customWidth="1" min="5380" max="5380"/>
    <col width="11.7109375" customWidth="1" min="5381" max="5381"/>
    <col width="4.85546875" customWidth="1" min="5622" max="5622"/>
    <col width="17.42578125" customWidth="1" min="5623" max="5623"/>
    <col width="28" customWidth="1" min="5624" max="5624"/>
    <col width="10.42578125" customWidth="1" min="5625" max="5625"/>
    <col width="12.28515625" customWidth="1" min="5626" max="5626"/>
    <col width="13.7109375" customWidth="1" min="5627" max="5627"/>
    <col width="11.7109375" customWidth="1" min="5628" max="5628"/>
    <col width="12.7109375" customWidth="1" min="5629" max="5629"/>
    <col width="16.42578125" customWidth="1" min="5630" max="5630"/>
    <col hidden="1" width="7.42578125" customWidth="1" min="5631" max="5634"/>
    <col width="12.42578125" customWidth="1" min="5635" max="5635"/>
    <col width="10.42578125" customWidth="1" min="5636" max="5636"/>
    <col width="11.7109375" customWidth="1" min="5637" max="5637"/>
    <col width="4.85546875" customWidth="1" min="5878" max="5878"/>
    <col width="17.42578125" customWidth="1" min="5879" max="5879"/>
    <col width="28" customWidth="1" min="5880" max="5880"/>
    <col width="10.42578125" customWidth="1" min="5881" max="5881"/>
    <col width="12.28515625" customWidth="1" min="5882" max="5882"/>
    <col width="13.7109375" customWidth="1" min="5883" max="5883"/>
    <col width="11.7109375" customWidth="1" min="5884" max="5884"/>
    <col width="12.7109375" customWidth="1" min="5885" max="5885"/>
    <col width="16.42578125" customWidth="1" min="5886" max="5886"/>
    <col hidden="1" width="7.42578125" customWidth="1" min="5887" max="5890"/>
    <col width="12.42578125" customWidth="1" min="5891" max="5891"/>
    <col width="10.42578125" customWidth="1" min="5892" max="5892"/>
    <col width="11.7109375" customWidth="1" min="5893" max="5893"/>
    <col width="4.85546875" customWidth="1" min="6134" max="6134"/>
    <col width="17.42578125" customWidth="1" min="6135" max="6135"/>
    <col width="28" customWidth="1" min="6136" max="6136"/>
    <col width="10.42578125" customWidth="1" min="6137" max="6137"/>
    <col width="12.28515625" customWidth="1" min="6138" max="6138"/>
    <col width="13.7109375" customWidth="1" min="6139" max="6139"/>
    <col width="11.7109375" customWidth="1" min="6140" max="6140"/>
    <col width="12.7109375" customWidth="1" min="6141" max="6141"/>
    <col width="16.42578125" customWidth="1" min="6142" max="6142"/>
    <col hidden="1" width="7.42578125" customWidth="1" min="6143" max="6146"/>
    <col width="12.42578125" customWidth="1" min="6147" max="6147"/>
    <col width="10.42578125" customWidth="1" min="6148" max="6148"/>
    <col width="11.7109375" customWidth="1" min="6149" max="6149"/>
    <col width="4.85546875" customWidth="1" min="6390" max="6390"/>
    <col width="17.42578125" customWidth="1" min="6391" max="6391"/>
    <col width="28" customWidth="1" min="6392" max="6392"/>
    <col width="10.42578125" customWidth="1" min="6393" max="6393"/>
    <col width="12.28515625" customWidth="1" min="6394" max="6394"/>
    <col width="13.7109375" customWidth="1" min="6395" max="6395"/>
    <col width="11.7109375" customWidth="1" min="6396" max="6396"/>
    <col width="12.7109375" customWidth="1" min="6397" max="6397"/>
    <col width="16.42578125" customWidth="1" min="6398" max="6398"/>
    <col hidden="1" width="7.42578125" customWidth="1" min="6399" max="6402"/>
    <col width="12.42578125" customWidth="1" min="6403" max="6403"/>
    <col width="10.42578125" customWidth="1" min="6404" max="6404"/>
    <col width="11.7109375" customWidth="1" min="6405" max="6405"/>
    <col width="4.85546875" customWidth="1" min="6646" max="6646"/>
    <col width="17.42578125" customWidth="1" min="6647" max="6647"/>
    <col width="28" customWidth="1" min="6648" max="6648"/>
    <col width="10.42578125" customWidth="1" min="6649" max="6649"/>
    <col width="12.28515625" customWidth="1" min="6650" max="6650"/>
    <col width="13.7109375" customWidth="1" min="6651" max="6651"/>
    <col width="11.7109375" customWidth="1" min="6652" max="6652"/>
    <col width="12.7109375" customWidth="1" min="6653" max="6653"/>
    <col width="16.42578125" customWidth="1" min="6654" max="6654"/>
    <col hidden="1" width="7.42578125" customWidth="1" min="6655" max="6658"/>
    <col width="12.42578125" customWidth="1" min="6659" max="6659"/>
    <col width="10.42578125" customWidth="1" min="6660" max="6660"/>
    <col width="11.7109375" customWidth="1" min="6661" max="6661"/>
    <col width="4.85546875" customWidth="1" min="6902" max="6902"/>
    <col width="17.42578125" customWidth="1" min="6903" max="6903"/>
    <col width="28" customWidth="1" min="6904" max="6904"/>
    <col width="10.42578125" customWidth="1" min="6905" max="6905"/>
    <col width="12.28515625" customWidth="1" min="6906" max="6906"/>
    <col width="13.7109375" customWidth="1" min="6907" max="6907"/>
    <col width="11.7109375" customWidth="1" min="6908" max="6908"/>
    <col width="12.7109375" customWidth="1" min="6909" max="6909"/>
    <col width="16.42578125" customWidth="1" min="6910" max="6910"/>
    <col hidden="1" width="7.42578125" customWidth="1" min="6911" max="6914"/>
    <col width="12.42578125" customWidth="1" min="6915" max="6915"/>
    <col width="10.42578125" customWidth="1" min="6916" max="6916"/>
    <col width="11.7109375" customWidth="1" min="6917" max="6917"/>
    <col width="4.85546875" customWidth="1" min="7158" max="7158"/>
    <col width="17.42578125" customWidth="1" min="7159" max="7159"/>
    <col width="28" customWidth="1" min="7160" max="7160"/>
    <col width="10.42578125" customWidth="1" min="7161" max="7161"/>
    <col width="12.28515625" customWidth="1" min="7162" max="7162"/>
    <col width="13.7109375" customWidth="1" min="7163" max="7163"/>
    <col width="11.7109375" customWidth="1" min="7164" max="7164"/>
    <col width="12.7109375" customWidth="1" min="7165" max="7165"/>
    <col width="16.42578125" customWidth="1" min="7166" max="7166"/>
    <col hidden="1" width="7.42578125" customWidth="1" min="7167" max="7170"/>
    <col width="12.42578125" customWidth="1" min="7171" max="7171"/>
    <col width="10.42578125" customWidth="1" min="7172" max="7172"/>
    <col width="11.7109375" customWidth="1" min="7173" max="7173"/>
    <col width="4.85546875" customWidth="1" min="7414" max="7414"/>
    <col width="17.42578125" customWidth="1" min="7415" max="7415"/>
    <col width="28" customWidth="1" min="7416" max="7416"/>
    <col width="10.42578125" customWidth="1" min="7417" max="7417"/>
    <col width="12.28515625" customWidth="1" min="7418" max="7418"/>
    <col width="13.7109375" customWidth="1" min="7419" max="7419"/>
    <col width="11.7109375" customWidth="1" min="7420" max="7420"/>
    <col width="12.7109375" customWidth="1" min="7421" max="7421"/>
    <col width="16.42578125" customWidth="1" min="7422" max="7422"/>
    <col hidden="1" width="7.42578125" customWidth="1" min="7423" max="7426"/>
    <col width="12.42578125" customWidth="1" min="7427" max="7427"/>
    <col width="10.42578125" customWidth="1" min="7428" max="7428"/>
    <col width="11.7109375" customWidth="1" min="7429" max="7429"/>
    <col width="4.85546875" customWidth="1" min="7670" max="7670"/>
    <col width="17.42578125" customWidth="1" min="7671" max="7671"/>
    <col width="28" customWidth="1" min="7672" max="7672"/>
    <col width="10.42578125" customWidth="1" min="7673" max="7673"/>
    <col width="12.28515625" customWidth="1" min="7674" max="7674"/>
    <col width="13.7109375" customWidth="1" min="7675" max="7675"/>
    <col width="11.7109375" customWidth="1" min="7676" max="7676"/>
    <col width="12.7109375" customWidth="1" min="7677" max="7677"/>
    <col width="16.42578125" customWidth="1" min="7678" max="7678"/>
    <col hidden="1" width="7.42578125" customWidth="1" min="7679" max="7682"/>
    <col width="12.42578125" customWidth="1" min="7683" max="7683"/>
    <col width="10.42578125" customWidth="1" min="7684" max="7684"/>
    <col width="11.7109375" customWidth="1" min="7685" max="7685"/>
    <col width="4.85546875" customWidth="1" min="7926" max="7926"/>
    <col width="17.42578125" customWidth="1" min="7927" max="7927"/>
    <col width="28" customWidth="1" min="7928" max="7928"/>
    <col width="10.42578125" customWidth="1" min="7929" max="7929"/>
    <col width="12.28515625" customWidth="1" min="7930" max="7930"/>
    <col width="13.7109375" customWidth="1" min="7931" max="7931"/>
    <col width="11.7109375" customWidth="1" min="7932" max="7932"/>
    <col width="12.7109375" customWidth="1" min="7933" max="7933"/>
    <col width="16.42578125" customWidth="1" min="7934" max="7934"/>
    <col hidden="1" width="7.42578125" customWidth="1" min="7935" max="7938"/>
    <col width="12.42578125" customWidth="1" min="7939" max="7939"/>
    <col width="10.42578125" customWidth="1" min="7940" max="7940"/>
    <col width="11.7109375" customWidth="1" min="7941" max="7941"/>
    <col width="4.85546875" customWidth="1" min="8182" max="8182"/>
    <col width="17.42578125" customWidth="1" min="8183" max="8183"/>
    <col width="28" customWidth="1" min="8184" max="8184"/>
    <col width="10.42578125" customWidth="1" min="8185" max="8185"/>
    <col width="12.28515625" customWidth="1" min="8186" max="8186"/>
    <col width="13.7109375" customWidth="1" min="8187" max="8187"/>
    <col width="11.7109375" customWidth="1" min="8188" max="8188"/>
    <col width="12.7109375" customWidth="1" min="8189" max="8189"/>
    <col width="16.42578125" customWidth="1" min="8190" max="8190"/>
    <col hidden="1" width="7.42578125" customWidth="1" min="8191" max="8194"/>
    <col width="12.42578125" customWidth="1" min="8195" max="8195"/>
    <col width="10.42578125" customWidth="1" min="8196" max="8196"/>
    <col width="11.7109375" customWidth="1" min="8197" max="8197"/>
    <col width="4.85546875" customWidth="1" min="8438" max="8438"/>
    <col width="17.42578125" customWidth="1" min="8439" max="8439"/>
    <col width="28" customWidth="1" min="8440" max="8440"/>
    <col width="10.42578125" customWidth="1" min="8441" max="8441"/>
    <col width="12.28515625" customWidth="1" min="8442" max="8442"/>
    <col width="13.7109375" customWidth="1" min="8443" max="8443"/>
    <col width="11.7109375" customWidth="1" min="8444" max="8444"/>
    <col width="12.7109375" customWidth="1" min="8445" max="8445"/>
    <col width="16.42578125" customWidth="1" min="8446" max="8446"/>
    <col hidden="1" width="7.42578125" customWidth="1" min="8447" max="8450"/>
    <col width="12.42578125" customWidth="1" min="8451" max="8451"/>
    <col width="10.42578125" customWidth="1" min="8452" max="8452"/>
    <col width="11.7109375" customWidth="1" min="8453" max="8453"/>
    <col width="4.85546875" customWidth="1" min="8694" max="8694"/>
    <col width="17.42578125" customWidth="1" min="8695" max="8695"/>
    <col width="28" customWidth="1" min="8696" max="8696"/>
    <col width="10.42578125" customWidth="1" min="8697" max="8697"/>
    <col width="12.28515625" customWidth="1" min="8698" max="8698"/>
    <col width="13.7109375" customWidth="1" min="8699" max="8699"/>
    <col width="11.7109375" customWidth="1" min="8700" max="8700"/>
    <col width="12.7109375" customWidth="1" min="8701" max="8701"/>
    <col width="16.42578125" customWidth="1" min="8702" max="8702"/>
    <col hidden="1" width="7.42578125" customWidth="1" min="8703" max="8706"/>
    <col width="12.42578125" customWidth="1" min="8707" max="8707"/>
    <col width="10.42578125" customWidth="1" min="8708" max="8708"/>
    <col width="11.7109375" customWidth="1" min="8709" max="8709"/>
    <col width="4.85546875" customWidth="1" min="8950" max="8950"/>
    <col width="17.42578125" customWidth="1" min="8951" max="8951"/>
    <col width="28" customWidth="1" min="8952" max="8952"/>
    <col width="10.42578125" customWidth="1" min="8953" max="8953"/>
    <col width="12.28515625" customWidth="1" min="8954" max="8954"/>
    <col width="13.7109375" customWidth="1" min="8955" max="8955"/>
    <col width="11.7109375" customWidth="1" min="8956" max="8956"/>
    <col width="12.7109375" customWidth="1" min="8957" max="8957"/>
    <col width="16.42578125" customWidth="1" min="8958" max="8958"/>
    <col hidden="1" width="7.42578125" customWidth="1" min="8959" max="8962"/>
    <col width="12.42578125" customWidth="1" min="8963" max="8963"/>
    <col width="10.42578125" customWidth="1" min="8964" max="8964"/>
    <col width="11.7109375" customWidth="1" min="8965" max="8965"/>
    <col width="4.85546875" customWidth="1" min="9206" max="9206"/>
    <col width="17.42578125" customWidth="1" min="9207" max="9207"/>
    <col width="28" customWidth="1" min="9208" max="9208"/>
    <col width="10.42578125" customWidth="1" min="9209" max="9209"/>
    <col width="12.28515625" customWidth="1" min="9210" max="9210"/>
    <col width="13.7109375" customWidth="1" min="9211" max="9211"/>
    <col width="11.7109375" customWidth="1" min="9212" max="9212"/>
    <col width="12.7109375" customWidth="1" min="9213" max="9213"/>
    <col width="16.42578125" customWidth="1" min="9214" max="9214"/>
    <col hidden="1" width="7.42578125" customWidth="1" min="9215" max="9218"/>
    <col width="12.42578125" customWidth="1" min="9219" max="9219"/>
    <col width="10.42578125" customWidth="1" min="9220" max="9220"/>
    <col width="11.7109375" customWidth="1" min="9221" max="9221"/>
    <col width="4.85546875" customWidth="1" min="9462" max="9462"/>
    <col width="17.42578125" customWidth="1" min="9463" max="9463"/>
    <col width="28" customWidth="1" min="9464" max="9464"/>
    <col width="10.42578125" customWidth="1" min="9465" max="9465"/>
    <col width="12.28515625" customWidth="1" min="9466" max="9466"/>
    <col width="13.7109375" customWidth="1" min="9467" max="9467"/>
    <col width="11.7109375" customWidth="1" min="9468" max="9468"/>
    <col width="12.7109375" customWidth="1" min="9469" max="9469"/>
    <col width="16.42578125" customWidth="1" min="9470" max="9470"/>
    <col hidden="1" width="7.42578125" customWidth="1" min="9471" max="9474"/>
    <col width="12.42578125" customWidth="1" min="9475" max="9475"/>
    <col width="10.42578125" customWidth="1" min="9476" max="9476"/>
    <col width="11.7109375" customWidth="1" min="9477" max="9477"/>
    <col width="4.85546875" customWidth="1" min="9718" max="9718"/>
    <col width="17.42578125" customWidth="1" min="9719" max="9719"/>
    <col width="28" customWidth="1" min="9720" max="9720"/>
    <col width="10.42578125" customWidth="1" min="9721" max="9721"/>
    <col width="12.28515625" customWidth="1" min="9722" max="9722"/>
    <col width="13.7109375" customWidth="1" min="9723" max="9723"/>
    <col width="11.7109375" customWidth="1" min="9724" max="9724"/>
    <col width="12.7109375" customWidth="1" min="9725" max="9725"/>
    <col width="16.42578125" customWidth="1" min="9726" max="9726"/>
    <col hidden="1" width="7.42578125" customWidth="1" min="9727" max="9730"/>
    <col width="12.42578125" customWidth="1" min="9731" max="9731"/>
    <col width="10.42578125" customWidth="1" min="9732" max="9732"/>
    <col width="11.7109375" customWidth="1" min="9733" max="9733"/>
    <col width="4.85546875" customWidth="1" min="9974" max="9974"/>
    <col width="17.42578125" customWidth="1" min="9975" max="9975"/>
    <col width="28" customWidth="1" min="9976" max="9976"/>
    <col width="10.42578125" customWidth="1" min="9977" max="9977"/>
    <col width="12.28515625" customWidth="1" min="9978" max="9978"/>
    <col width="13.7109375" customWidth="1" min="9979" max="9979"/>
    <col width="11.7109375" customWidth="1" min="9980" max="9980"/>
    <col width="12.7109375" customWidth="1" min="9981" max="9981"/>
    <col width="16.42578125" customWidth="1" min="9982" max="9982"/>
    <col hidden="1" width="7.42578125" customWidth="1" min="9983" max="9986"/>
    <col width="12.42578125" customWidth="1" min="9987" max="9987"/>
    <col width="10.42578125" customWidth="1" min="9988" max="9988"/>
    <col width="11.7109375" customWidth="1" min="9989" max="9989"/>
    <col width="4.85546875" customWidth="1" min="10230" max="10230"/>
    <col width="17.42578125" customWidth="1" min="10231" max="10231"/>
    <col width="28" customWidth="1" min="10232" max="10232"/>
    <col width="10.42578125" customWidth="1" min="10233" max="10233"/>
    <col width="12.28515625" customWidth="1" min="10234" max="10234"/>
    <col width="13.7109375" customWidth="1" min="10235" max="10235"/>
    <col width="11.7109375" customWidth="1" min="10236" max="10236"/>
    <col width="12.7109375" customWidth="1" min="10237" max="10237"/>
    <col width="16.42578125" customWidth="1" min="10238" max="10238"/>
    <col hidden="1" width="7.42578125" customWidth="1" min="10239" max="10242"/>
    <col width="12.42578125" customWidth="1" min="10243" max="10243"/>
    <col width="10.42578125" customWidth="1" min="10244" max="10244"/>
    <col width="11.7109375" customWidth="1" min="10245" max="10245"/>
    <col width="4.85546875" customWidth="1" min="10486" max="10486"/>
    <col width="17.42578125" customWidth="1" min="10487" max="10487"/>
    <col width="28" customWidth="1" min="10488" max="10488"/>
    <col width="10.42578125" customWidth="1" min="10489" max="10489"/>
    <col width="12.28515625" customWidth="1" min="10490" max="10490"/>
    <col width="13.7109375" customWidth="1" min="10491" max="10491"/>
    <col width="11.7109375" customWidth="1" min="10492" max="10492"/>
    <col width="12.7109375" customWidth="1" min="10493" max="10493"/>
    <col width="16.42578125" customWidth="1" min="10494" max="10494"/>
    <col hidden="1" width="7.42578125" customWidth="1" min="10495" max="10498"/>
    <col width="12.42578125" customWidth="1" min="10499" max="10499"/>
    <col width="10.42578125" customWidth="1" min="10500" max="10500"/>
    <col width="11.7109375" customWidth="1" min="10501" max="10501"/>
    <col width="4.85546875" customWidth="1" min="10742" max="10742"/>
    <col width="17.42578125" customWidth="1" min="10743" max="10743"/>
    <col width="28" customWidth="1" min="10744" max="10744"/>
    <col width="10.42578125" customWidth="1" min="10745" max="10745"/>
    <col width="12.28515625" customWidth="1" min="10746" max="10746"/>
    <col width="13.7109375" customWidth="1" min="10747" max="10747"/>
    <col width="11.7109375" customWidth="1" min="10748" max="10748"/>
    <col width="12.7109375" customWidth="1" min="10749" max="10749"/>
    <col width="16.42578125" customWidth="1" min="10750" max="10750"/>
    <col hidden="1" width="7.42578125" customWidth="1" min="10751" max="10754"/>
    <col width="12.42578125" customWidth="1" min="10755" max="10755"/>
    <col width="10.42578125" customWidth="1" min="10756" max="10756"/>
    <col width="11.7109375" customWidth="1" min="10757" max="10757"/>
    <col width="4.85546875" customWidth="1" min="10998" max="10998"/>
    <col width="17.42578125" customWidth="1" min="10999" max="10999"/>
    <col width="28" customWidth="1" min="11000" max="11000"/>
    <col width="10.42578125" customWidth="1" min="11001" max="11001"/>
    <col width="12.28515625" customWidth="1" min="11002" max="11002"/>
    <col width="13.7109375" customWidth="1" min="11003" max="11003"/>
    <col width="11.7109375" customWidth="1" min="11004" max="11004"/>
    <col width="12.7109375" customWidth="1" min="11005" max="11005"/>
    <col width="16.42578125" customWidth="1" min="11006" max="11006"/>
    <col hidden="1" width="7.42578125" customWidth="1" min="11007" max="11010"/>
    <col width="12.42578125" customWidth="1" min="11011" max="11011"/>
    <col width="10.42578125" customWidth="1" min="11012" max="11012"/>
    <col width="11.7109375" customWidth="1" min="11013" max="11013"/>
    <col width="4.85546875" customWidth="1" min="11254" max="11254"/>
    <col width="17.42578125" customWidth="1" min="11255" max="11255"/>
    <col width="28" customWidth="1" min="11256" max="11256"/>
    <col width="10.42578125" customWidth="1" min="11257" max="11257"/>
    <col width="12.28515625" customWidth="1" min="11258" max="11258"/>
    <col width="13.7109375" customWidth="1" min="11259" max="11259"/>
    <col width="11.7109375" customWidth="1" min="11260" max="11260"/>
    <col width="12.7109375" customWidth="1" min="11261" max="11261"/>
    <col width="16.42578125" customWidth="1" min="11262" max="11262"/>
    <col hidden="1" width="7.42578125" customWidth="1" min="11263" max="11266"/>
    <col width="12.42578125" customWidth="1" min="11267" max="11267"/>
    <col width="10.42578125" customWidth="1" min="11268" max="11268"/>
    <col width="11.7109375" customWidth="1" min="11269" max="11269"/>
    <col width="4.85546875" customWidth="1" min="11510" max="11510"/>
    <col width="17.42578125" customWidth="1" min="11511" max="11511"/>
    <col width="28" customWidth="1" min="11512" max="11512"/>
    <col width="10.42578125" customWidth="1" min="11513" max="11513"/>
    <col width="12.28515625" customWidth="1" min="11514" max="11514"/>
    <col width="13.7109375" customWidth="1" min="11515" max="11515"/>
    <col width="11.7109375" customWidth="1" min="11516" max="11516"/>
    <col width="12.7109375" customWidth="1" min="11517" max="11517"/>
    <col width="16.42578125" customWidth="1" min="11518" max="11518"/>
    <col hidden="1" width="7.42578125" customWidth="1" min="11519" max="11522"/>
    <col width="12.42578125" customWidth="1" min="11523" max="11523"/>
    <col width="10.42578125" customWidth="1" min="11524" max="11524"/>
    <col width="11.7109375" customWidth="1" min="11525" max="11525"/>
    <col width="4.85546875" customWidth="1" min="11766" max="11766"/>
    <col width="17.42578125" customWidth="1" min="11767" max="11767"/>
    <col width="28" customWidth="1" min="11768" max="11768"/>
    <col width="10.42578125" customWidth="1" min="11769" max="11769"/>
    <col width="12.28515625" customWidth="1" min="11770" max="11770"/>
    <col width="13.7109375" customWidth="1" min="11771" max="11771"/>
    <col width="11.7109375" customWidth="1" min="11772" max="11772"/>
    <col width="12.7109375" customWidth="1" min="11773" max="11773"/>
    <col width="16.42578125" customWidth="1" min="11774" max="11774"/>
    <col hidden="1" width="7.42578125" customWidth="1" min="11775" max="11778"/>
    <col width="12.42578125" customWidth="1" min="11779" max="11779"/>
    <col width="10.42578125" customWidth="1" min="11780" max="11780"/>
    <col width="11.7109375" customWidth="1" min="11781" max="11781"/>
    <col width="4.85546875" customWidth="1" min="12022" max="12022"/>
    <col width="17.42578125" customWidth="1" min="12023" max="12023"/>
    <col width="28" customWidth="1" min="12024" max="12024"/>
    <col width="10.42578125" customWidth="1" min="12025" max="12025"/>
    <col width="12.28515625" customWidth="1" min="12026" max="12026"/>
    <col width="13.7109375" customWidth="1" min="12027" max="12027"/>
    <col width="11.7109375" customWidth="1" min="12028" max="12028"/>
    <col width="12.7109375" customWidth="1" min="12029" max="12029"/>
    <col width="16.42578125" customWidth="1" min="12030" max="12030"/>
    <col hidden="1" width="7.42578125" customWidth="1" min="12031" max="12034"/>
    <col width="12.42578125" customWidth="1" min="12035" max="12035"/>
    <col width="10.42578125" customWidth="1" min="12036" max="12036"/>
    <col width="11.7109375" customWidth="1" min="12037" max="12037"/>
    <col width="4.85546875" customWidth="1" min="12278" max="12278"/>
    <col width="17.42578125" customWidth="1" min="12279" max="12279"/>
    <col width="28" customWidth="1" min="12280" max="12280"/>
    <col width="10.42578125" customWidth="1" min="12281" max="12281"/>
    <col width="12.28515625" customWidth="1" min="12282" max="12282"/>
    <col width="13.7109375" customWidth="1" min="12283" max="12283"/>
    <col width="11.7109375" customWidth="1" min="12284" max="12284"/>
    <col width="12.7109375" customWidth="1" min="12285" max="12285"/>
    <col width="16.42578125" customWidth="1" min="12286" max="12286"/>
    <col hidden="1" width="7.42578125" customWidth="1" min="12287" max="12290"/>
    <col width="12.42578125" customWidth="1" min="12291" max="12291"/>
    <col width="10.42578125" customWidth="1" min="12292" max="12292"/>
    <col width="11.7109375" customWidth="1" min="12293" max="12293"/>
    <col width="4.85546875" customWidth="1" min="12534" max="12534"/>
    <col width="17.42578125" customWidth="1" min="12535" max="12535"/>
    <col width="28" customWidth="1" min="12536" max="12536"/>
    <col width="10.42578125" customWidth="1" min="12537" max="12537"/>
    <col width="12.28515625" customWidth="1" min="12538" max="12538"/>
    <col width="13.7109375" customWidth="1" min="12539" max="12539"/>
    <col width="11.7109375" customWidth="1" min="12540" max="12540"/>
    <col width="12.7109375" customWidth="1" min="12541" max="12541"/>
    <col width="16.42578125" customWidth="1" min="12542" max="12542"/>
    <col hidden="1" width="7.42578125" customWidth="1" min="12543" max="12546"/>
    <col width="12.42578125" customWidth="1" min="12547" max="12547"/>
    <col width="10.42578125" customWidth="1" min="12548" max="12548"/>
    <col width="11.7109375" customWidth="1" min="12549" max="12549"/>
    <col width="4.85546875" customWidth="1" min="12790" max="12790"/>
    <col width="17.42578125" customWidth="1" min="12791" max="12791"/>
    <col width="28" customWidth="1" min="12792" max="12792"/>
    <col width="10.42578125" customWidth="1" min="12793" max="12793"/>
    <col width="12.28515625" customWidth="1" min="12794" max="12794"/>
    <col width="13.7109375" customWidth="1" min="12795" max="12795"/>
    <col width="11.7109375" customWidth="1" min="12796" max="12796"/>
    <col width="12.7109375" customWidth="1" min="12797" max="12797"/>
    <col width="16.42578125" customWidth="1" min="12798" max="12798"/>
    <col hidden="1" width="7.42578125" customWidth="1" min="12799" max="12802"/>
    <col width="12.42578125" customWidth="1" min="12803" max="12803"/>
    <col width="10.42578125" customWidth="1" min="12804" max="12804"/>
    <col width="11.7109375" customWidth="1" min="12805" max="12805"/>
    <col width="4.85546875" customWidth="1" min="13046" max="13046"/>
    <col width="17.42578125" customWidth="1" min="13047" max="13047"/>
    <col width="28" customWidth="1" min="13048" max="13048"/>
    <col width="10.42578125" customWidth="1" min="13049" max="13049"/>
    <col width="12.28515625" customWidth="1" min="13050" max="13050"/>
    <col width="13.7109375" customWidth="1" min="13051" max="13051"/>
    <col width="11.7109375" customWidth="1" min="13052" max="13052"/>
    <col width="12.7109375" customWidth="1" min="13053" max="13053"/>
    <col width="16.42578125" customWidth="1" min="13054" max="13054"/>
    <col hidden="1" width="7.42578125" customWidth="1" min="13055" max="13058"/>
    <col width="12.42578125" customWidth="1" min="13059" max="13059"/>
    <col width="10.42578125" customWidth="1" min="13060" max="13060"/>
    <col width="11.7109375" customWidth="1" min="13061" max="13061"/>
    <col width="4.85546875" customWidth="1" min="13302" max="13302"/>
    <col width="17.42578125" customWidth="1" min="13303" max="13303"/>
    <col width="28" customWidth="1" min="13304" max="13304"/>
    <col width="10.42578125" customWidth="1" min="13305" max="13305"/>
    <col width="12.28515625" customWidth="1" min="13306" max="13306"/>
    <col width="13.7109375" customWidth="1" min="13307" max="13307"/>
    <col width="11.7109375" customWidth="1" min="13308" max="13308"/>
    <col width="12.7109375" customWidth="1" min="13309" max="13309"/>
    <col width="16.42578125" customWidth="1" min="13310" max="13310"/>
    <col hidden="1" width="7.42578125" customWidth="1" min="13311" max="13314"/>
    <col width="12.42578125" customWidth="1" min="13315" max="13315"/>
    <col width="10.42578125" customWidth="1" min="13316" max="13316"/>
    <col width="11.7109375" customWidth="1" min="13317" max="13317"/>
    <col width="4.85546875" customWidth="1" min="13558" max="13558"/>
    <col width="17.42578125" customWidth="1" min="13559" max="13559"/>
    <col width="28" customWidth="1" min="13560" max="13560"/>
    <col width="10.42578125" customWidth="1" min="13561" max="13561"/>
    <col width="12.28515625" customWidth="1" min="13562" max="13562"/>
    <col width="13.7109375" customWidth="1" min="13563" max="13563"/>
    <col width="11.7109375" customWidth="1" min="13564" max="13564"/>
    <col width="12.7109375" customWidth="1" min="13565" max="13565"/>
    <col width="16.42578125" customWidth="1" min="13566" max="13566"/>
    <col hidden="1" width="7.42578125" customWidth="1" min="13567" max="13570"/>
    <col width="12.42578125" customWidth="1" min="13571" max="13571"/>
    <col width="10.42578125" customWidth="1" min="13572" max="13572"/>
    <col width="11.7109375" customWidth="1" min="13573" max="13573"/>
    <col width="4.85546875" customWidth="1" min="13814" max="13814"/>
    <col width="17.42578125" customWidth="1" min="13815" max="13815"/>
    <col width="28" customWidth="1" min="13816" max="13816"/>
    <col width="10.42578125" customWidth="1" min="13817" max="13817"/>
    <col width="12.28515625" customWidth="1" min="13818" max="13818"/>
    <col width="13.7109375" customWidth="1" min="13819" max="13819"/>
    <col width="11.7109375" customWidth="1" min="13820" max="13820"/>
    <col width="12.7109375" customWidth="1" min="13821" max="13821"/>
    <col width="16.42578125" customWidth="1" min="13822" max="13822"/>
    <col hidden="1" width="7.42578125" customWidth="1" min="13823" max="13826"/>
    <col width="12.42578125" customWidth="1" min="13827" max="13827"/>
    <col width="10.42578125" customWidth="1" min="13828" max="13828"/>
    <col width="11.7109375" customWidth="1" min="13829" max="13829"/>
    <col width="4.85546875" customWidth="1" min="14070" max="14070"/>
    <col width="17.42578125" customWidth="1" min="14071" max="14071"/>
    <col width="28" customWidth="1" min="14072" max="14072"/>
    <col width="10.42578125" customWidth="1" min="14073" max="14073"/>
    <col width="12.28515625" customWidth="1" min="14074" max="14074"/>
    <col width="13.7109375" customWidth="1" min="14075" max="14075"/>
    <col width="11.7109375" customWidth="1" min="14076" max="14076"/>
    <col width="12.7109375" customWidth="1" min="14077" max="14077"/>
    <col width="16.42578125" customWidth="1" min="14078" max="14078"/>
    <col hidden="1" width="7.42578125" customWidth="1" min="14079" max="14082"/>
    <col width="12.42578125" customWidth="1" min="14083" max="14083"/>
    <col width="10.42578125" customWidth="1" min="14084" max="14084"/>
    <col width="11.7109375" customWidth="1" min="14085" max="14085"/>
    <col width="4.85546875" customWidth="1" min="14326" max="14326"/>
    <col width="17.42578125" customWidth="1" min="14327" max="14327"/>
    <col width="28" customWidth="1" min="14328" max="14328"/>
    <col width="10.42578125" customWidth="1" min="14329" max="14329"/>
    <col width="12.28515625" customWidth="1" min="14330" max="14330"/>
    <col width="13.7109375" customWidth="1" min="14331" max="14331"/>
    <col width="11.7109375" customWidth="1" min="14332" max="14332"/>
    <col width="12.7109375" customWidth="1" min="14333" max="14333"/>
    <col width="16.42578125" customWidth="1" min="14334" max="14334"/>
    <col hidden="1" width="7.42578125" customWidth="1" min="14335" max="14338"/>
    <col width="12.42578125" customWidth="1" min="14339" max="14339"/>
    <col width="10.42578125" customWidth="1" min="14340" max="14340"/>
    <col width="11.7109375" customWidth="1" min="14341" max="14341"/>
    <col width="4.85546875" customWidth="1" min="14582" max="14582"/>
    <col width="17.42578125" customWidth="1" min="14583" max="14583"/>
    <col width="28" customWidth="1" min="14584" max="14584"/>
    <col width="10.42578125" customWidth="1" min="14585" max="14585"/>
    <col width="12.28515625" customWidth="1" min="14586" max="14586"/>
    <col width="13.7109375" customWidth="1" min="14587" max="14587"/>
    <col width="11.7109375" customWidth="1" min="14588" max="14588"/>
    <col width="12.7109375" customWidth="1" min="14589" max="14589"/>
    <col width="16.42578125" customWidth="1" min="14590" max="14590"/>
    <col hidden="1" width="7.42578125" customWidth="1" min="14591" max="14594"/>
    <col width="12.42578125" customWidth="1" min="14595" max="14595"/>
    <col width="10.42578125" customWidth="1" min="14596" max="14596"/>
    <col width="11.7109375" customWidth="1" min="14597" max="14597"/>
    <col width="4.85546875" customWidth="1" min="14838" max="14838"/>
    <col width="17.42578125" customWidth="1" min="14839" max="14839"/>
    <col width="28" customWidth="1" min="14840" max="14840"/>
    <col width="10.42578125" customWidth="1" min="14841" max="14841"/>
    <col width="12.28515625" customWidth="1" min="14842" max="14842"/>
    <col width="13.7109375" customWidth="1" min="14843" max="14843"/>
    <col width="11.7109375" customWidth="1" min="14844" max="14844"/>
    <col width="12.7109375" customWidth="1" min="14845" max="14845"/>
    <col width="16.42578125" customWidth="1" min="14846" max="14846"/>
    <col hidden="1" width="7.42578125" customWidth="1" min="14847" max="14850"/>
    <col width="12.42578125" customWidth="1" min="14851" max="14851"/>
    <col width="10.42578125" customWidth="1" min="14852" max="14852"/>
    <col width="11.7109375" customWidth="1" min="14853" max="14853"/>
    <col width="4.85546875" customWidth="1" min="15094" max="15094"/>
    <col width="17.42578125" customWidth="1" min="15095" max="15095"/>
    <col width="28" customWidth="1" min="15096" max="15096"/>
    <col width="10.42578125" customWidth="1" min="15097" max="15097"/>
    <col width="12.28515625" customWidth="1" min="15098" max="15098"/>
    <col width="13.7109375" customWidth="1" min="15099" max="15099"/>
    <col width="11.7109375" customWidth="1" min="15100" max="15100"/>
    <col width="12.7109375" customWidth="1" min="15101" max="15101"/>
    <col width="16.42578125" customWidth="1" min="15102" max="15102"/>
    <col hidden="1" width="7.42578125" customWidth="1" min="15103" max="15106"/>
    <col width="12.42578125" customWidth="1" min="15107" max="15107"/>
    <col width="10.42578125" customWidth="1" min="15108" max="15108"/>
    <col width="11.7109375" customWidth="1" min="15109" max="15109"/>
    <col width="4.85546875" customWidth="1" min="15350" max="15350"/>
    <col width="17.42578125" customWidth="1" min="15351" max="15351"/>
    <col width="28" customWidth="1" min="15352" max="15352"/>
    <col width="10.42578125" customWidth="1" min="15353" max="15353"/>
    <col width="12.28515625" customWidth="1" min="15354" max="15354"/>
    <col width="13.7109375" customWidth="1" min="15355" max="15355"/>
    <col width="11.7109375" customWidth="1" min="15356" max="15356"/>
    <col width="12.7109375" customWidth="1" min="15357" max="15357"/>
    <col width="16.42578125" customWidth="1" min="15358" max="15358"/>
    <col hidden="1" width="7.42578125" customWidth="1" min="15359" max="15362"/>
    <col width="12.42578125" customWidth="1" min="15363" max="15363"/>
    <col width="10.42578125" customWidth="1" min="15364" max="15364"/>
    <col width="11.7109375" customWidth="1" min="15365" max="15365"/>
    <col width="4.85546875" customWidth="1" min="15606" max="15606"/>
    <col width="17.42578125" customWidth="1" min="15607" max="15607"/>
    <col width="28" customWidth="1" min="15608" max="15608"/>
    <col width="10.42578125" customWidth="1" min="15609" max="15609"/>
    <col width="12.28515625" customWidth="1" min="15610" max="15610"/>
    <col width="13.7109375" customWidth="1" min="15611" max="15611"/>
    <col width="11.7109375" customWidth="1" min="15612" max="15612"/>
    <col width="12.7109375" customWidth="1" min="15613" max="15613"/>
    <col width="16.42578125" customWidth="1" min="15614" max="15614"/>
    <col hidden="1" width="7.42578125" customWidth="1" min="15615" max="15618"/>
    <col width="12.42578125" customWidth="1" min="15619" max="15619"/>
    <col width="10.42578125" customWidth="1" min="15620" max="15620"/>
    <col width="11.7109375" customWidth="1" min="15621" max="15621"/>
    <col width="4.85546875" customWidth="1" min="15862" max="15862"/>
    <col width="17.42578125" customWidth="1" min="15863" max="15863"/>
    <col width="28" customWidth="1" min="15864" max="15864"/>
    <col width="10.42578125" customWidth="1" min="15865" max="15865"/>
    <col width="12.28515625" customWidth="1" min="15866" max="15866"/>
    <col width="13.7109375" customWidth="1" min="15867" max="15867"/>
    <col width="11.7109375" customWidth="1" min="15868" max="15868"/>
    <col width="12.7109375" customWidth="1" min="15869" max="15869"/>
    <col width="16.42578125" customWidth="1" min="15870" max="15870"/>
    <col hidden="1" width="7.42578125" customWidth="1" min="15871" max="15874"/>
    <col width="12.42578125" customWidth="1" min="15875" max="15875"/>
    <col width="10.42578125" customWidth="1" min="15876" max="15876"/>
    <col width="11.7109375" customWidth="1" min="15877" max="15877"/>
    <col width="4.85546875" customWidth="1" min="16118" max="16118"/>
    <col width="17.42578125" customWidth="1" min="16119" max="16119"/>
    <col width="28" customWidth="1" min="16120" max="16120"/>
    <col width="10.42578125" customWidth="1" min="16121" max="16121"/>
    <col width="12.28515625" customWidth="1" min="16122" max="16122"/>
    <col width="13.7109375" customWidth="1" min="16123" max="16123"/>
    <col width="11.7109375" customWidth="1" min="16124" max="16124"/>
    <col width="12.7109375" customWidth="1" min="16125" max="16125"/>
    <col width="16.42578125" customWidth="1" min="16126" max="16126"/>
    <col hidden="1" width="7.42578125" customWidth="1" min="16127" max="16130"/>
    <col width="12.42578125" customWidth="1" min="16131" max="16131"/>
    <col width="10.42578125" customWidth="1" min="16132" max="16132"/>
    <col width="11.7109375" customWidth="1" min="16133" max="16133"/>
  </cols>
  <sheetData>
    <row r="1" ht="20.25" customFormat="1" customHeight="1" s="2">
      <c r="A1" s="1" t="inlineStr">
        <is>
          <t>LAPORAN PEMAKAIAN DAN LEMBAR PERMINTAAN OBAT ( LPLPO )</t>
        </is>
      </c>
    </row>
    <row r="2" ht="15" customFormat="1" customHeight="1" s="2">
      <c r="B2" s="3" t="n"/>
      <c r="D2" s="4" t="n"/>
      <c r="E2" s="3" t="n"/>
      <c r="F2" s="3" t="n"/>
      <c r="G2" s="3" t="n"/>
      <c r="H2" s="3" t="n"/>
      <c r="I2" s="3" t="n"/>
      <c r="J2" s="3" t="n"/>
      <c r="K2" s="3" t="n"/>
    </row>
    <row r="3" ht="15.75" customFormat="1" customHeight="1" s="2">
      <c r="A3" s="5" t="inlineStr">
        <is>
          <t>PUSKESMAS : LAMBUYA</t>
        </is>
      </c>
      <c r="D3" s="6" t="n"/>
      <c r="E3" s="7" t="n"/>
      <c r="F3" s="7" t="n"/>
      <c r="G3" s="7" t="n"/>
      <c r="H3" s="7" t="n"/>
      <c r="I3" s="7" t="n"/>
      <c r="J3" s="7" t="n"/>
      <c r="K3" s="8" t="inlineStr">
        <is>
          <t>NOMOR</t>
        </is>
      </c>
      <c r="L3" s="8" t="inlineStr">
        <is>
          <t>TANGGAL</t>
        </is>
      </c>
    </row>
    <row r="4" ht="15.75" customFormat="1" customHeight="1" s="2">
      <c r="A4" s="5" t="inlineStr">
        <is>
          <t>KECAMATAN : LAMBUYA</t>
        </is>
      </c>
      <c r="D4" s="9" t="n"/>
      <c r="E4" s="7" t="n"/>
      <c r="F4" s="7" t="n"/>
      <c r="G4" s="7" t="n"/>
      <c r="H4" s="7" t="n"/>
      <c r="I4" s="7" t="n"/>
      <c r="J4" s="7" t="n"/>
      <c r="K4" s="8" t="n"/>
      <c r="L4" s="10" t="n"/>
    </row>
    <row r="5" ht="15.75" customFormat="1" customHeight="1" s="2">
      <c r="A5" s="5" t="inlineStr">
        <is>
          <t>PROVINSI SULAWESI TENGGARA</t>
        </is>
      </c>
      <c r="D5" s="9" t="n"/>
      <c r="E5" s="7" t="n"/>
      <c r="F5" s="5" t="n"/>
      <c r="J5" s="7" t="n"/>
      <c r="K5" s="8" t="n"/>
      <c r="L5" s="10" t="n"/>
    </row>
    <row r="6" ht="15.75" customFormat="1" customHeight="1" s="2">
      <c r="A6" s="5" t="inlineStr">
        <is>
          <t>KABUPATEN KONAWE</t>
        </is>
      </c>
      <c r="D6" s="9" t="n"/>
      <c r="E6" s="7" t="n"/>
      <c r="F6" s="5" t="n"/>
      <c r="J6" s="7" t="n"/>
      <c r="K6" s="8" t="n"/>
      <c r="L6" s="11" t="n"/>
    </row>
    <row r="7" ht="15.75" customHeight="1" thickBot="1">
      <c r="A7" s="12" t="n"/>
      <c r="B7" s="13" t="n"/>
      <c r="C7" s="12" t="n"/>
      <c r="D7" s="12" t="n"/>
      <c r="E7" s="13" t="n"/>
      <c r="F7" s="13" t="n"/>
      <c r="G7" s="13" t="n"/>
      <c r="H7" s="13" t="n"/>
      <c r="I7" s="13" t="n"/>
      <c r="J7" s="3" t="n"/>
      <c r="K7" s="3" t="n"/>
    </row>
    <row r="8" ht="32.25" customFormat="1" customHeight="1" s="2" thickBot="1">
      <c r="B8" s="14" t="inlineStr">
        <is>
          <t>NO</t>
        </is>
      </c>
      <c r="C8" s="14" t="inlineStr">
        <is>
          <t>NAMA OBAT</t>
        </is>
      </c>
      <c r="D8" s="15" t="inlineStr">
        <is>
          <t>SATUAN</t>
        </is>
      </c>
      <c r="E8" s="15" t="inlineStr">
        <is>
          <t>STOK AWAL</t>
        </is>
      </c>
      <c r="F8" s="15" t="inlineStr">
        <is>
          <t>PENERIMAAN</t>
        </is>
      </c>
      <c r="G8" s="15" t="inlineStr">
        <is>
          <t>PERSEDIAAN</t>
        </is>
      </c>
      <c r="H8" s="15" t="inlineStr">
        <is>
          <t>PEMAKAIAN</t>
        </is>
      </c>
      <c r="I8" s="15" t="inlineStr">
        <is>
          <t>STOK AKHIR</t>
        </is>
      </c>
      <c r="J8" s="15" t="inlineStr">
        <is>
          <t>PERMINTAAN</t>
        </is>
      </c>
      <c r="K8" s="15" t="inlineStr">
        <is>
          <t>PEMBERIAN</t>
        </is>
      </c>
      <c r="L8" s="15" t="inlineStr">
        <is>
          <t>KETERANGAN</t>
        </is>
      </c>
    </row>
    <row r="9" ht="15.75" customFormat="1" customHeight="1" s="19" thickBot="1">
      <c r="B9" s="16" t="n">
        <v>1</v>
      </c>
      <c r="C9" s="17" t="n">
        <v>2</v>
      </c>
      <c r="D9" s="17" t="n">
        <v>3</v>
      </c>
      <c r="E9" s="16" t="n">
        <v>4</v>
      </c>
      <c r="F9" s="16" t="n">
        <v>5</v>
      </c>
      <c r="G9" s="16" t="n">
        <v>6</v>
      </c>
      <c r="H9" s="18" t="n">
        <v>7</v>
      </c>
      <c r="I9" s="16" t="n">
        <v>8</v>
      </c>
      <c r="J9" s="16" t="n">
        <v>9</v>
      </c>
      <c r="K9" s="16" t="n">
        <v>10</v>
      </c>
      <c r="L9" s="17" t="n">
        <v>11</v>
      </c>
    </row>
    <row r="10" ht="15.75" customFormat="1" customHeight="1" s="28">
      <c r="B10" s="20" t="n">
        <v>1</v>
      </c>
      <c r="C10" s="21" t="inlineStr">
        <is>
          <t>Acetylsistein</t>
        </is>
      </c>
      <c r="D10" s="22" t="inlineStr">
        <is>
          <t>Tablet</t>
        </is>
      </c>
      <c r="E10" s="22" t="n">
        <v>0</v>
      </c>
      <c r="F10" s="23" t="n"/>
      <c r="G10" s="24">
        <f>E10+F10</f>
        <v/>
      </c>
      <c r="H10" s="23" t="n">
        <v>0</v>
      </c>
      <c r="I10" s="25">
        <f>G10-H10</f>
        <v/>
      </c>
      <c r="J10" s="26">
        <f>((H10*(20/100))+H10)-I10</f>
        <v/>
      </c>
      <c r="K10" s="26">
        <f>J10</f>
        <v/>
      </c>
      <c r="L10" s="27" t="n"/>
    </row>
    <row r="11" ht="15" customFormat="1" customHeight="1" s="2">
      <c r="B11" s="29" t="n">
        <v>2</v>
      </c>
      <c r="C11" s="30" t="inlineStr">
        <is>
          <t xml:space="preserve">Alopurinol tablet 100 mg </t>
        </is>
      </c>
      <c r="D11" s="31" t="inlineStr">
        <is>
          <t>Tablet</t>
        </is>
      </c>
      <c r="E11" s="22" t="n">
        <v>0</v>
      </c>
      <c r="F11" s="32" t="n"/>
      <c r="G11" s="24">
        <f>E11+F11</f>
        <v/>
      </c>
      <c r="H11" s="23" t="n">
        <v>0</v>
      </c>
      <c r="I11" s="25">
        <f>G11-H11</f>
        <v/>
      </c>
      <c r="J11" s="26">
        <f>((H11*(20/100))+H11)-I11</f>
        <v/>
      </c>
      <c r="K11" s="26">
        <f>J11</f>
        <v/>
      </c>
      <c r="L11" s="33" t="n"/>
    </row>
    <row r="12" ht="15" customFormat="1" customHeight="1" s="34">
      <c r="B12" s="20" t="n">
        <v>3</v>
      </c>
      <c r="C12" s="30" t="inlineStr">
        <is>
          <t xml:space="preserve">Alopurinol tablet 300 mg </t>
        </is>
      </c>
      <c r="D12" s="31" t="inlineStr">
        <is>
          <t>Tablet</t>
        </is>
      </c>
      <c r="E12" s="22" t="n">
        <v>0</v>
      </c>
      <c r="F12" s="32" t="n"/>
      <c r="G12" s="24">
        <f>E12+F12</f>
        <v/>
      </c>
      <c r="H12" s="23" t="n">
        <v>0</v>
      </c>
      <c r="I12" s="25">
        <f>G12-H12</f>
        <v/>
      </c>
      <c r="J12" s="26">
        <f>((H12*(20/100))+H12)-I12</f>
        <v/>
      </c>
      <c r="K12" s="26">
        <f>J12</f>
        <v/>
      </c>
      <c r="L12" s="33" t="n"/>
    </row>
    <row r="13" ht="15.75" customFormat="1" customHeight="1" s="2">
      <c r="B13" s="29" t="n">
        <v>4</v>
      </c>
      <c r="C13" s="30" t="inlineStr">
        <is>
          <t>Ambroksol sirup</t>
        </is>
      </c>
      <c r="D13" s="31" t="inlineStr">
        <is>
          <t>Botol</t>
        </is>
      </c>
      <c r="E13" s="22" t="n">
        <v>0</v>
      </c>
      <c r="F13" s="32" t="n"/>
      <c r="G13" s="24">
        <f>E13+F13</f>
        <v/>
      </c>
      <c r="H13" s="23" t="n">
        <v>0</v>
      </c>
      <c r="I13" s="25">
        <f>G13-H13</f>
        <v/>
      </c>
      <c r="J13" s="26">
        <f>((H13*(20/100))+H13)-I13</f>
        <v/>
      </c>
      <c r="K13" s="26">
        <f>J13</f>
        <v/>
      </c>
      <c r="L13" s="33" t="n"/>
    </row>
    <row r="14" ht="15" customFormat="1" customHeight="1" s="2">
      <c r="B14" s="20" t="n">
        <v>5</v>
      </c>
      <c r="C14" s="30" t="inlineStr">
        <is>
          <t>Ambroksol tablet 30 mg</t>
        </is>
      </c>
      <c r="D14" s="31" t="inlineStr">
        <is>
          <t>Tablet</t>
        </is>
      </c>
      <c r="E14" s="22" t="n">
        <v>0</v>
      </c>
      <c r="F14" s="32" t="n"/>
      <c r="G14" s="24">
        <f>E14+F14</f>
        <v/>
      </c>
      <c r="H14" s="23" t="n">
        <v>0</v>
      </c>
      <c r="I14" s="25">
        <f>G14-H14</f>
        <v/>
      </c>
      <c r="J14" s="26">
        <f>((H14*(20/100))+H14)-I14</f>
        <v/>
      </c>
      <c r="K14" s="26">
        <f>J14</f>
        <v/>
      </c>
      <c r="L14" s="33" t="n"/>
    </row>
    <row r="15" ht="15" customFormat="1" customHeight="1" s="2">
      <c r="B15" s="29" t="n">
        <v>6</v>
      </c>
      <c r="C15" s="30" t="inlineStr">
        <is>
          <t>Aminofillin tablet 200 mg</t>
        </is>
      </c>
      <c r="D15" s="31" t="inlineStr">
        <is>
          <t>Tablet</t>
        </is>
      </c>
      <c r="E15" s="22" t="n">
        <v>0</v>
      </c>
      <c r="F15" s="32" t="n"/>
      <c r="G15" s="24" t="n">
        <v>0</v>
      </c>
      <c r="H15" s="23" t="n">
        <v>0</v>
      </c>
      <c r="I15" s="25">
        <f>G15-H15</f>
        <v/>
      </c>
      <c r="J15" s="26">
        <f>((H15*(20/100))+H15)-I15</f>
        <v/>
      </c>
      <c r="K15" s="26">
        <f>J15</f>
        <v/>
      </c>
      <c r="L15" s="33" t="n"/>
    </row>
    <row r="16" ht="15" customFormat="1" customHeight="1" s="34">
      <c r="B16" s="20" t="n">
        <v>7</v>
      </c>
      <c r="C16" s="30" t="inlineStr">
        <is>
          <t xml:space="preserve">Amlodipin tablet 10 mg </t>
        </is>
      </c>
      <c r="D16" s="31" t="inlineStr">
        <is>
          <t>Tablet</t>
        </is>
      </c>
      <c r="E16" s="22" t="n">
        <v>0</v>
      </c>
      <c r="F16" s="32" t="n"/>
      <c r="G16" s="24">
        <f>E16+F16</f>
        <v/>
      </c>
      <c r="H16" s="23" t="n">
        <v>0</v>
      </c>
      <c r="I16" s="25">
        <f>G16-H16</f>
        <v/>
      </c>
      <c r="J16" s="26">
        <f>((H16*(20/100))+H16)-I16</f>
        <v/>
      </c>
      <c r="K16" s="26">
        <f>J16</f>
        <v/>
      </c>
      <c r="L16" s="33" t="n"/>
    </row>
    <row r="17" ht="15" customFormat="1" customHeight="1" s="2">
      <c r="B17" s="29" t="n">
        <v>8</v>
      </c>
      <c r="C17" s="30" t="inlineStr">
        <is>
          <t xml:space="preserve">Amlodipin tablet 5 mg </t>
        </is>
      </c>
      <c r="D17" s="35" t="inlineStr">
        <is>
          <t>Tablet</t>
        </is>
      </c>
      <c r="E17" s="22" t="n">
        <v>0</v>
      </c>
      <c r="F17" s="32" t="n"/>
      <c r="G17" s="24">
        <f>E17+F17</f>
        <v/>
      </c>
      <c r="H17" s="23" t="n">
        <v>0</v>
      </c>
      <c r="I17" s="25">
        <f>G17-H17</f>
        <v/>
      </c>
      <c r="J17" s="26">
        <f>((H17*(20/100))+H17)-I17</f>
        <v/>
      </c>
      <c r="K17" s="26">
        <f>J17</f>
        <v/>
      </c>
      <c r="L17" s="33" t="n"/>
    </row>
    <row r="18" ht="15" customFormat="1" customHeight="1" s="34">
      <c r="B18" s="20" t="n">
        <v>9</v>
      </c>
      <c r="C18" s="30" t="inlineStr">
        <is>
          <t>Amoksilin kaplet 500 mg</t>
        </is>
      </c>
      <c r="D18" s="35" t="inlineStr">
        <is>
          <t>Kaplet</t>
        </is>
      </c>
      <c r="E18" s="22" t="n">
        <v>0</v>
      </c>
      <c r="F18" s="32" t="n"/>
      <c r="G18" s="24">
        <f>E18+F18</f>
        <v/>
      </c>
      <c r="H18" s="23" t="n">
        <v>0</v>
      </c>
      <c r="I18" s="25">
        <f>G18-H18</f>
        <v/>
      </c>
      <c r="J18" s="26">
        <f>((H18*(20/100))+H18)-I18</f>
        <v/>
      </c>
      <c r="K18" s="26">
        <f>J18</f>
        <v/>
      </c>
      <c r="L18" s="33" t="n"/>
    </row>
    <row r="19" ht="15" customFormat="1" customHeight="1" s="36">
      <c r="B19" s="29" t="n">
        <v>10</v>
      </c>
      <c r="C19" s="30" t="inlineStr">
        <is>
          <t>Amoksilin sirup kering 100 mg/ml - 10 ml</t>
        </is>
      </c>
      <c r="D19" s="31" t="inlineStr">
        <is>
          <t xml:space="preserve">Botol </t>
        </is>
      </c>
      <c r="E19" s="22" t="n">
        <v>0</v>
      </c>
      <c r="F19" s="32" t="n"/>
      <c r="G19" s="24">
        <f>E19+F19</f>
        <v/>
      </c>
      <c r="H19" s="23" t="n">
        <v>0</v>
      </c>
      <c r="I19" s="25">
        <f>G19-H19</f>
        <v/>
      </c>
      <c r="J19" s="26">
        <f>((H19*(20/100))+H19)-I19</f>
        <v/>
      </c>
      <c r="K19" s="26">
        <f>J19</f>
        <v/>
      </c>
      <c r="L19" s="33" t="n"/>
    </row>
    <row r="20" ht="15" customFormat="1" customHeight="1" s="2">
      <c r="B20" s="20" t="n">
        <v>11</v>
      </c>
      <c r="C20" s="37" t="inlineStr">
        <is>
          <t>Amoksilin sirup kering 125 mg/5 ml - 60 ml</t>
        </is>
      </c>
      <c r="D20" s="35" t="inlineStr">
        <is>
          <t>Botol</t>
        </is>
      </c>
      <c r="E20" s="22" t="n">
        <v>0</v>
      </c>
      <c r="F20" s="32" t="n"/>
      <c r="G20" s="24">
        <f>E20+F20</f>
        <v/>
      </c>
      <c r="H20" s="23" t="n">
        <v>0</v>
      </c>
      <c r="I20" s="25">
        <f>G20-H20</f>
        <v/>
      </c>
      <c r="J20" s="26">
        <f>((H20*(20/100))+H20)-I20</f>
        <v/>
      </c>
      <c r="K20" s="26">
        <f>J20</f>
        <v/>
      </c>
      <c r="L20" s="33" t="n"/>
    </row>
    <row r="21" ht="15" customFormat="1" customHeight="1" s="34">
      <c r="B21" s="29" t="n">
        <v>12</v>
      </c>
      <c r="C21" s="37" t="inlineStr">
        <is>
          <t>Amoksilin sirup kering 250 mg</t>
        </is>
      </c>
      <c r="D21" s="35" t="inlineStr">
        <is>
          <t>Botol</t>
        </is>
      </c>
      <c r="E21" s="22" t="n">
        <v>0</v>
      </c>
      <c r="F21" s="32" t="n"/>
      <c r="G21" s="24">
        <f>E21+F21</f>
        <v/>
      </c>
      <c r="H21" s="23" t="n">
        <v>0</v>
      </c>
      <c r="I21" s="25">
        <f>G21-H21</f>
        <v/>
      </c>
      <c r="J21" s="26">
        <f>((H21*(20/100))+H21)-I21</f>
        <v/>
      </c>
      <c r="K21" s="26">
        <f>J21</f>
        <v/>
      </c>
      <c r="L21" s="33" t="n"/>
    </row>
    <row r="22" ht="15" customFormat="1" customHeight="1" s="34">
      <c r="B22" s="20" t="n">
        <v>13</v>
      </c>
      <c r="C22" s="30" t="inlineStr">
        <is>
          <t xml:space="preserve">Antasida DOEN I tablet kunyah, kombinasi : Aluminium Hidroksida 200 mg + Magnesium Hidroksida 200 mg </t>
        </is>
      </c>
      <c r="D22" s="35" t="inlineStr">
        <is>
          <t>Botol</t>
        </is>
      </c>
      <c r="E22" s="22" t="n">
        <v>0</v>
      </c>
      <c r="F22" s="32" t="n"/>
      <c r="G22" s="24">
        <f>E22+F22</f>
        <v/>
      </c>
      <c r="H22" s="23" t="n">
        <v>0</v>
      </c>
      <c r="I22" s="25">
        <f>G22-H22</f>
        <v/>
      </c>
      <c r="J22" s="26">
        <f>((H22*(20/100))+H22)-I22</f>
        <v/>
      </c>
      <c r="K22" s="26">
        <f>J22</f>
        <v/>
      </c>
      <c r="L22" s="33" t="n"/>
    </row>
    <row r="23" ht="27" customFormat="1" customHeight="1" s="2">
      <c r="B23" s="29" t="n">
        <v>14</v>
      </c>
      <c r="C23" s="30" t="inlineStr">
        <is>
          <t>Antasida DOEN II suspensi, kombinasi /Lagesil</t>
        </is>
      </c>
      <c r="D23" s="35" t="inlineStr">
        <is>
          <t>Botol</t>
        </is>
      </c>
      <c r="E23" s="22" t="n">
        <v>0</v>
      </c>
      <c r="F23" s="32" t="n"/>
      <c r="G23" s="24">
        <f>E23+F23</f>
        <v/>
      </c>
      <c r="H23" s="23" t="n">
        <v>0</v>
      </c>
      <c r="I23" s="25">
        <f>G23-H23</f>
        <v/>
      </c>
      <c r="J23" s="26">
        <f>((H23*(20/100))+H23)-I23</f>
        <v/>
      </c>
      <c r="K23" s="26">
        <f>J23</f>
        <v/>
      </c>
      <c r="L23" s="33" t="n"/>
    </row>
    <row r="24" ht="15" customFormat="1" customHeight="1" s="2">
      <c r="B24" s="20" t="n">
        <v>15</v>
      </c>
      <c r="C24" s="30" t="inlineStr">
        <is>
          <t xml:space="preserve">Anti Hemmoroid DOEN kombinasi </t>
        </is>
      </c>
      <c r="D24" s="35" t="inlineStr">
        <is>
          <t>Supp</t>
        </is>
      </c>
      <c r="E24" s="22" t="n">
        <v>0</v>
      </c>
      <c r="F24" s="32" t="n"/>
      <c r="G24" s="24">
        <f>E24+F24</f>
        <v/>
      </c>
      <c r="H24" s="23" t="n">
        <v>0</v>
      </c>
      <c r="I24" s="25">
        <f>G24-H24</f>
        <v/>
      </c>
      <c r="J24" s="26">
        <f>((H24*(20/100))+H24)-I24</f>
        <v/>
      </c>
      <c r="K24" s="26">
        <f>J24</f>
        <v/>
      </c>
      <c r="L24" s="33" t="n"/>
    </row>
    <row r="25" ht="15" customFormat="1" customHeight="1" s="34">
      <c r="B25" s="29" t="n">
        <v>16</v>
      </c>
      <c r="C25" s="30" t="inlineStr">
        <is>
          <t>Antifungi  Salep  3 - 6</t>
        </is>
      </c>
      <c r="D25" s="35" t="inlineStr">
        <is>
          <t>Pot</t>
        </is>
      </c>
      <c r="E25" s="22" t="n">
        <v>0</v>
      </c>
      <c r="F25" s="32" t="n"/>
      <c r="G25" s="24">
        <f>E25+F25</f>
        <v/>
      </c>
      <c r="H25" s="23" t="n">
        <v>0</v>
      </c>
      <c r="I25" s="25">
        <f>G25-H25</f>
        <v/>
      </c>
      <c r="J25" s="26">
        <f>((H25*(20/100))+H25)-I25</f>
        <v/>
      </c>
      <c r="K25" s="26">
        <f>J25</f>
        <v/>
      </c>
      <c r="L25" s="33" t="n"/>
    </row>
    <row r="26" ht="15" customFormat="1" customHeight="1" s="2">
      <c r="B26" s="20" t="n">
        <v>17</v>
      </c>
      <c r="C26" s="37" t="inlineStr">
        <is>
          <t>Antifungi DOEN kombinasi/SALEP WHITE FIELD</t>
        </is>
      </c>
      <c r="D26" s="35" t="inlineStr">
        <is>
          <t>Pot</t>
        </is>
      </c>
      <c r="E26" s="22" t="n">
        <v>0</v>
      </c>
      <c r="F26" s="32" t="n"/>
      <c r="G26" s="24">
        <f>E26+F26</f>
        <v/>
      </c>
      <c r="H26" s="23" t="n">
        <v>0</v>
      </c>
      <c r="I26" s="25">
        <f>G26-H26</f>
        <v/>
      </c>
      <c r="J26" s="26">
        <f>((H26*(20/100))+H26)-I26</f>
        <v/>
      </c>
      <c r="K26" s="26">
        <f>J26</f>
        <v/>
      </c>
      <c r="L26" s="33" t="n"/>
    </row>
    <row r="27" ht="15" customFormat="1" customHeight="1" s="2">
      <c r="B27" s="29" t="n">
        <v>18</v>
      </c>
      <c r="C27" s="30" t="inlineStr">
        <is>
          <t>Antimigren : Ergotamin Tartrat 1 mg + Kofein 50 mg</t>
        </is>
      </c>
      <c r="D27" s="35" t="inlineStr">
        <is>
          <t>Tablet</t>
        </is>
      </c>
      <c r="E27" s="22" t="n">
        <v>0</v>
      </c>
      <c r="F27" s="32" t="n"/>
      <c r="G27" s="24">
        <f>E27+F27</f>
        <v/>
      </c>
      <c r="H27" s="23" t="n">
        <v>0</v>
      </c>
      <c r="I27" s="25">
        <f>G27-H27</f>
        <v/>
      </c>
      <c r="J27" s="26">
        <f>((H27*(20/100))+H27)-I27</f>
        <v/>
      </c>
      <c r="K27" s="26">
        <f>J27</f>
        <v/>
      </c>
      <c r="L27" s="33" t="n"/>
    </row>
    <row r="28" ht="15" customFormat="1" customHeight="1" s="38">
      <c r="B28" s="20" t="n">
        <v>19</v>
      </c>
      <c r="C28" s="30" t="inlineStr">
        <is>
          <t>Aqua pro injeksi steril, bebas pirogen 25 ml</t>
        </is>
      </c>
      <c r="D28" s="35" t="inlineStr">
        <is>
          <t>Vial</t>
        </is>
      </c>
      <c r="E28" s="22" t="n">
        <v>0</v>
      </c>
      <c r="F28" s="32" t="n"/>
      <c r="G28" s="24">
        <f>E28+F28</f>
        <v/>
      </c>
      <c r="H28" s="23" t="n">
        <v>0</v>
      </c>
      <c r="I28" s="25">
        <f>G28-H28</f>
        <v/>
      </c>
      <c r="J28" s="26">
        <f>((H28*(20/100))+H28)-I28</f>
        <v/>
      </c>
      <c r="K28" s="26">
        <f>J28</f>
        <v/>
      </c>
      <c r="L28" s="33" t="n"/>
    </row>
    <row r="29" ht="15" customFormat="1" customHeight="1" s="36">
      <c r="B29" s="29" t="n">
        <v>20</v>
      </c>
      <c r="C29" s="30" t="inlineStr">
        <is>
          <t>Asam Asetilsalisilat tablet 80 mg</t>
        </is>
      </c>
      <c r="D29" s="35" t="inlineStr">
        <is>
          <t>Tablet</t>
        </is>
      </c>
      <c r="E29" s="22" t="n">
        <v>0</v>
      </c>
      <c r="F29" s="32" t="n"/>
      <c r="G29" s="24">
        <f>E29+F29</f>
        <v/>
      </c>
      <c r="H29" s="23" t="n">
        <v>0</v>
      </c>
      <c r="I29" s="25">
        <f>G29-H29</f>
        <v/>
      </c>
      <c r="J29" s="26">
        <f>((H29*(20/100))+H29)-I29</f>
        <v/>
      </c>
      <c r="K29" s="26">
        <f>J29</f>
        <v/>
      </c>
      <c r="L29" s="33" t="n"/>
    </row>
    <row r="30" ht="15" customFormat="1" customHeight="1" s="2">
      <c r="B30" s="20" t="n">
        <v>21</v>
      </c>
      <c r="C30" s="30" t="inlineStr">
        <is>
          <t>Asam Askorbat (Vitamin C) tablet 50 mg</t>
        </is>
      </c>
      <c r="D30" s="35" t="inlineStr">
        <is>
          <t>Tablet</t>
        </is>
      </c>
      <c r="E30" s="22" t="n">
        <v>0</v>
      </c>
      <c r="F30" s="32" t="n"/>
      <c r="G30" s="24">
        <f>E30+F30</f>
        <v/>
      </c>
      <c r="H30" s="23" t="n">
        <v>0</v>
      </c>
      <c r="I30" s="25">
        <f>G30-H30</f>
        <v/>
      </c>
      <c r="J30" s="26">
        <f>((H30*(20/100))+H30)-I30</f>
        <v/>
      </c>
      <c r="K30" s="26">
        <f>J30</f>
        <v/>
      </c>
      <c r="L30" s="33" t="n"/>
    </row>
    <row r="31" ht="15" customFormat="1" customHeight="1" s="34">
      <c r="B31" s="29" t="n">
        <v>22</v>
      </c>
      <c r="C31" s="30" t="inlineStr">
        <is>
          <t xml:space="preserve">Asam Folat </t>
        </is>
      </c>
      <c r="D31" s="31" t="inlineStr">
        <is>
          <t>Tablet</t>
        </is>
      </c>
      <c r="E31" s="22" t="n">
        <v>0</v>
      </c>
      <c r="F31" s="32" t="n"/>
      <c r="G31" s="24">
        <f>E31+F31</f>
        <v/>
      </c>
      <c r="H31" s="23" t="n">
        <v>0</v>
      </c>
      <c r="I31" s="25">
        <f>G31-H31</f>
        <v/>
      </c>
      <c r="J31" s="26">
        <f>((H31*(20/100))+H31)-I31</f>
        <v/>
      </c>
      <c r="K31" s="26">
        <f>J31</f>
        <v/>
      </c>
      <c r="L31" s="33" t="n"/>
    </row>
    <row r="32" ht="15" customFormat="1" customHeight="1" s="38">
      <c r="B32" s="20" t="n">
        <v>23</v>
      </c>
      <c r="C32" s="30" t="inlineStr">
        <is>
          <t>Asam Mefenamat kaplet 500 mg</t>
        </is>
      </c>
      <c r="D32" s="35" t="inlineStr">
        <is>
          <t>Tablet</t>
        </is>
      </c>
      <c r="E32" s="22" t="n">
        <v>0</v>
      </c>
      <c r="F32" s="32" t="n"/>
      <c r="G32" s="24">
        <f>E32+F32</f>
        <v/>
      </c>
      <c r="H32" s="23" t="n">
        <v>0</v>
      </c>
      <c r="I32" s="25">
        <f>G32-H32</f>
        <v/>
      </c>
      <c r="J32" s="26">
        <f>((H32*(20/100))+H32)-I32</f>
        <v/>
      </c>
      <c r="K32" s="26">
        <f>J32</f>
        <v/>
      </c>
      <c r="L32" s="33" t="inlineStr">
        <is>
          <t>ED</t>
        </is>
      </c>
    </row>
    <row r="33" ht="15" customFormat="1" customHeight="1" s="2">
      <c r="B33" s="29" t="n">
        <v>24</v>
      </c>
      <c r="C33" s="30" t="inlineStr">
        <is>
          <t>Asam Traneksamat injeksi/Tranxa</t>
        </is>
      </c>
      <c r="D33" s="35" t="inlineStr">
        <is>
          <t>Ampul</t>
        </is>
      </c>
      <c r="E33" s="22" t="n">
        <v>0</v>
      </c>
      <c r="F33" s="32" t="n"/>
      <c r="G33" s="24" t="n"/>
      <c r="H33" s="23" t="n">
        <v>0</v>
      </c>
      <c r="I33" s="25">
        <f>G33-H33</f>
        <v/>
      </c>
      <c r="J33" s="26" t="n"/>
      <c r="K33" s="26" t="n"/>
      <c r="L33" s="33" t="n"/>
    </row>
    <row r="34" ht="15.75" customFormat="1" customHeight="1" s="2">
      <c r="B34" s="20" t="n">
        <v>25</v>
      </c>
      <c r="C34" s="30" t="inlineStr">
        <is>
          <t>Asam Traneksamat</t>
        </is>
      </c>
      <c r="D34" s="35" t="inlineStr">
        <is>
          <t>Tablet</t>
        </is>
      </c>
      <c r="E34" s="22" t="n">
        <v>0</v>
      </c>
      <c r="F34" s="32" t="n"/>
      <c r="G34" s="24" t="n"/>
      <c r="H34" s="23" t="n">
        <v>0</v>
      </c>
      <c r="I34" s="25">
        <f>G34-H34</f>
        <v/>
      </c>
      <c r="J34" s="26">
        <f>((H34*(20/100))+H34)-I34</f>
        <v/>
      </c>
      <c r="K34" s="26">
        <f>J34</f>
        <v/>
      </c>
      <c r="L34" s="33" t="n"/>
    </row>
    <row r="35" ht="15" customFormat="1" customHeight="1" s="34">
      <c r="B35" s="29" t="n">
        <v>26</v>
      </c>
      <c r="C35" s="30" t="inlineStr">
        <is>
          <t>Asiklovir salep kulit/Virpes</t>
        </is>
      </c>
      <c r="D35" s="31" t="inlineStr">
        <is>
          <t>Tube</t>
        </is>
      </c>
      <c r="E35" s="22" t="n">
        <v>0</v>
      </c>
      <c r="F35" s="32" t="n"/>
      <c r="G35" s="24">
        <f>E35+F35</f>
        <v/>
      </c>
      <c r="H35" s="23" t="n">
        <v>0</v>
      </c>
      <c r="I35" s="25">
        <f>G35-H35</f>
        <v/>
      </c>
      <c r="J35" s="26">
        <f>((H35*(20/100))+H35)-I35</f>
        <v/>
      </c>
      <c r="K35" s="26">
        <f>J35</f>
        <v/>
      </c>
      <c r="L35" s="33" t="n"/>
    </row>
    <row r="36" ht="15" customFormat="1" customHeight="1" s="34">
      <c r="B36" s="20" t="n">
        <v>27</v>
      </c>
      <c r="C36" s="30" t="inlineStr">
        <is>
          <t>Asiklovir tablet 200 mg / Acifar</t>
        </is>
      </c>
      <c r="D36" s="31" t="inlineStr">
        <is>
          <t>Tablet</t>
        </is>
      </c>
      <c r="E36" s="22" t="n">
        <v>0</v>
      </c>
      <c r="F36" s="32" t="n"/>
      <c r="G36" s="24">
        <f>E36+F36</f>
        <v/>
      </c>
      <c r="H36" s="23" t="n">
        <v>0</v>
      </c>
      <c r="I36" s="25">
        <f>G36-H36</f>
        <v/>
      </c>
      <c r="J36" s="26">
        <f>((H36*(20/100))+H36)-I36</f>
        <v/>
      </c>
      <c r="K36" s="26">
        <f>J36</f>
        <v/>
      </c>
      <c r="L36" s="33" t="n"/>
    </row>
    <row r="37" ht="15" customFormat="1" customHeight="1" s="36">
      <c r="B37" s="29" t="n">
        <v>28</v>
      </c>
      <c r="C37" s="30" t="inlineStr">
        <is>
          <t xml:space="preserve">Asiklovir tablet 400 mg </t>
        </is>
      </c>
      <c r="D37" s="31" t="inlineStr">
        <is>
          <t>Tablet</t>
        </is>
      </c>
      <c r="E37" s="22" t="n">
        <v>0</v>
      </c>
      <c r="F37" s="32" t="n"/>
      <c r="G37" s="24">
        <f>E37+F37</f>
        <v/>
      </c>
      <c r="H37" s="23" t="n">
        <v>0</v>
      </c>
      <c r="I37" s="25">
        <f>G37-H37</f>
        <v/>
      </c>
      <c r="J37" s="26">
        <f>((H37*(20/100))+H37)-I37</f>
        <v/>
      </c>
      <c r="K37" s="26">
        <f>J37</f>
        <v/>
      </c>
      <c r="L37" s="33" t="n"/>
    </row>
    <row r="38" ht="15.75" customFormat="1" customHeight="1" s="34">
      <c r="B38" s="20" t="n">
        <v>29</v>
      </c>
      <c r="C38" s="30" t="inlineStr">
        <is>
          <t>Atorvastatin 20 mg</t>
        </is>
      </c>
      <c r="D38" s="35" t="inlineStr">
        <is>
          <t>Tablet</t>
        </is>
      </c>
      <c r="E38" s="22" t="n">
        <v>0</v>
      </c>
      <c r="F38" s="32" t="n"/>
      <c r="G38" s="24">
        <f>E38+F38</f>
        <v/>
      </c>
      <c r="H38" s="23" t="n">
        <v>0</v>
      </c>
      <c r="I38" s="25">
        <f>G38-H38</f>
        <v/>
      </c>
      <c r="J38" s="26">
        <f>((H38*(20/100))+H38)-I38</f>
        <v/>
      </c>
      <c r="K38" s="26">
        <f>J38</f>
        <v/>
      </c>
      <c r="L38" s="33" t="n"/>
    </row>
    <row r="39" ht="30" customFormat="1" customHeight="1" s="34">
      <c r="B39" s="29" t="n">
        <v>30</v>
      </c>
      <c r="C39" s="37" t="inlineStr">
        <is>
          <t>Besi II Sulfat 200 mg + Asam Folat 0,25 mg (tablet tambah darah kombinasi)</t>
        </is>
      </c>
      <c r="D39" s="35" t="inlineStr">
        <is>
          <t>Tablet</t>
        </is>
      </c>
      <c r="E39" s="22" t="n">
        <v>0</v>
      </c>
      <c r="F39" s="32" t="n"/>
      <c r="G39" s="24">
        <f>E39+F39</f>
        <v/>
      </c>
      <c r="H39" s="23" t="n">
        <v>0</v>
      </c>
      <c r="I39" s="25">
        <f>G39-H39</f>
        <v/>
      </c>
      <c r="J39" s="26">
        <f>((H39*(20/100))+H39)-I39</f>
        <v/>
      </c>
      <c r="K39" s="26">
        <f>J39</f>
        <v/>
      </c>
      <c r="L39" s="33" t="inlineStr">
        <is>
          <t>ED</t>
        </is>
      </c>
    </row>
    <row r="40" ht="26.1" customFormat="1" customHeight="1" s="34">
      <c r="B40" s="20" t="n">
        <v>31</v>
      </c>
      <c r="C40" s="30" t="inlineStr">
        <is>
          <t xml:space="preserve">Betahistin Mesilat tablet 6 mg </t>
        </is>
      </c>
      <c r="D40" s="35" t="inlineStr">
        <is>
          <t>Tablet</t>
        </is>
      </c>
      <c r="E40" s="22" t="n">
        <v>0</v>
      </c>
      <c r="F40" s="32" t="n"/>
      <c r="G40" s="24">
        <f>E40+F40</f>
        <v/>
      </c>
      <c r="H40" s="23" t="n">
        <v>0</v>
      </c>
      <c r="I40" s="25">
        <f>G40-H40</f>
        <v/>
      </c>
      <c r="J40" s="26">
        <f>((H40*(20/100))+H40)-I40</f>
        <v/>
      </c>
      <c r="K40" s="26">
        <f>J40</f>
        <v/>
      </c>
      <c r="L40" s="33" t="n"/>
    </row>
    <row r="41" ht="15" customFormat="1" customHeight="1" s="34">
      <c r="B41" s="29" t="n">
        <v>32</v>
      </c>
      <c r="C41" s="30" t="inlineStr">
        <is>
          <t xml:space="preserve">Betametason Krim 0.1 % (sebagai valerat) - 5 gr </t>
        </is>
      </c>
      <c r="D41" s="35" t="inlineStr">
        <is>
          <t>Tube</t>
        </is>
      </c>
      <c r="E41" s="22" t="n">
        <v>0</v>
      </c>
      <c r="F41" s="32" t="n"/>
      <c r="G41" s="24">
        <f>E41+F41</f>
        <v/>
      </c>
      <c r="H41" s="23" t="n">
        <v>0</v>
      </c>
      <c r="I41" s="25">
        <f>G41-H41</f>
        <v/>
      </c>
      <c r="J41" s="26">
        <f>((H41*(20/100))+H41)-I41</f>
        <v/>
      </c>
      <c r="K41" s="26">
        <f>J41</f>
        <v/>
      </c>
      <c r="L41" s="33" t="n"/>
    </row>
    <row r="42" ht="15" customFormat="1" customHeight="1" s="2">
      <c r="B42" s="20" t="n">
        <v>33</v>
      </c>
      <c r="C42" s="30" t="inlineStr">
        <is>
          <t>Bisakodil</t>
        </is>
      </c>
      <c r="D42" s="35" t="inlineStr">
        <is>
          <t>Tablet</t>
        </is>
      </c>
      <c r="E42" s="22" t="n">
        <v>0</v>
      </c>
      <c r="F42" s="32" t="n"/>
      <c r="G42" s="24">
        <f>E42+F42</f>
        <v/>
      </c>
      <c r="H42" s="23" t="n">
        <v>0</v>
      </c>
      <c r="I42" s="25">
        <f>G42-H42</f>
        <v/>
      </c>
      <c r="J42" s="26">
        <f>((H42*(20/100))+H42)-I42</f>
        <v/>
      </c>
      <c r="K42" s="26">
        <f>J42</f>
        <v/>
      </c>
      <c r="L42" s="33" t="n"/>
    </row>
    <row r="43" ht="15" customFormat="1" customHeight="1" s="34">
      <c r="B43" s="29" t="n">
        <v>34</v>
      </c>
      <c r="C43" s="30" t="inlineStr">
        <is>
          <t>Cairan KAEN3B</t>
        </is>
      </c>
      <c r="D43" s="35" t="inlineStr">
        <is>
          <t>Botol</t>
        </is>
      </c>
      <c r="E43" s="22" t="n">
        <v>0</v>
      </c>
      <c r="F43" s="32" t="n"/>
      <c r="G43" s="24">
        <f>E43+F43</f>
        <v/>
      </c>
      <c r="H43" s="23" t="n">
        <v>0</v>
      </c>
      <c r="I43" s="25">
        <f>G43-H43</f>
        <v/>
      </c>
      <c r="J43" s="26">
        <f>((H43*(20/100))+H43)-I43</f>
        <v/>
      </c>
      <c r="K43" s="26">
        <f>J43</f>
        <v/>
      </c>
      <c r="L43" s="33" t="n"/>
    </row>
    <row r="44" ht="15.75" customFormat="1" customHeight="1" s="2">
      <c r="B44" s="20" t="n">
        <v>35</v>
      </c>
      <c r="C44" s="30" t="inlineStr">
        <is>
          <t>Colchine</t>
        </is>
      </c>
      <c r="D44" s="35" t="inlineStr">
        <is>
          <t>Tablet</t>
        </is>
      </c>
      <c r="E44" s="22" t="n">
        <v>0</v>
      </c>
      <c r="F44" s="32" t="n"/>
      <c r="G44" s="24">
        <f>E44+F44</f>
        <v/>
      </c>
      <c r="H44" s="23" t="n">
        <v>0</v>
      </c>
      <c r="I44" s="25">
        <f>G44-H44</f>
        <v/>
      </c>
      <c r="J44" s="26">
        <f>((H44*(20/100))+H44)-I44</f>
        <v/>
      </c>
      <c r="K44" s="26">
        <f>J44</f>
        <v/>
      </c>
      <c r="L44" s="33" t="inlineStr">
        <is>
          <t>ED</t>
        </is>
      </c>
    </row>
    <row r="45" ht="15.75" customFormat="1" customHeight="1" s="2">
      <c r="B45" s="29" t="n">
        <v>36</v>
      </c>
      <c r="C45" s="30" t="inlineStr">
        <is>
          <t>Clopidogrel</t>
        </is>
      </c>
      <c r="D45" s="31" t="inlineStr">
        <is>
          <t>Tablet</t>
        </is>
      </c>
      <c r="E45" s="22" t="n">
        <v>0</v>
      </c>
      <c r="F45" s="32" t="n"/>
      <c r="G45" s="24">
        <f>E45+F45</f>
        <v/>
      </c>
      <c r="H45" s="23" t="n">
        <v>0</v>
      </c>
      <c r="I45" s="25">
        <f>G45-H45</f>
        <v/>
      </c>
      <c r="J45" s="26">
        <f>((H45*(20/100))+H45)-I45</f>
        <v/>
      </c>
      <c r="K45" s="26">
        <f>J45</f>
        <v/>
      </c>
      <c r="L45" s="33" t="n"/>
    </row>
    <row r="46" ht="15.75" customFormat="1" customHeight="1" s="34">
      <c r="B46" s="20" t="n">
        <v>37</v>
      </c>
      <c r="C46" s="37" t="inlineStr">
        <is>
          <t>Cetirizin Syrup</t>
        </is>
      </c>
      <c r="D46" s="35" t="inlineStr">
        <is>
          <t>Botol</t>
        </is>
      </c>
      <c r="E46" s="22" t="n">
        <v>0</v>
      </c>
      <c r="F46" s="32" t="n"/>
      <c r="G46" s="24">
        <f>E46+F46</f>
        <v/>
      </c>
      <c r="H46" s="23" t="n">
        <v>0</v>
      </c>
      <c r="I46" s="25">
        <f>G46-H46</f>
        <v/>
      </c>
      <c r="J46" s="26">
        <f>((H46*(20/100))+H46)-I46</f>
        <v/>
      </c>
      <c r="K46" s="26">
        <f>J46</f>
        <v/>
      </c>
      <c r="L46" s="33" t="n"/>
    </row>
    <row r="47" ht="15.75" customFormat="1" customHeight="1" s="2">
      <c r="B47" s="29" t="n">
        <v>38</v>
      </c>
      <c r="C47" s="30" t="inlineStr">
        <is>
          <t>Cetirizin Tablet</t>
        </is>
      </c>
      <c r="D47" s="35" t="inlineStr">
        <is>
          <t>Tablet</t>
        </is>
      </c>
      <c r="E47" s="22" t="n">
        <v>0</v>
      </c>
      <c r="F47" s="32" t="n"/>
      <c r="G47" s="24">
        <f>E47+F47</f>
        <v/>
      </c>
      <c r="H47" s="23" t="n">
        <v>0</v>
      </c>
      <c r="I47" s="25">
        <f>G47-H47</f>
        <v/>
      </c>
      <c r="J47" s="26">
        <f>((H47*(20/100))+H47)-I47</f>
        <v/>
      </c>
      <c r="K47" s="26">
        <f>J47</f>
        <v/>
      </c>
      <c r="L47" s="33" t="n"/>
    </row>
    <row r="48" ht="15.75" customFormat="1" customHeight="1" s="2">
      <c r="B48" s="20" t="n">
        <v>39</v>
      </c>
      <c r="C48" s="30" t="inlineStr">
        <is>
          <t>Cefotaxim Injeksi</t>
        </is>
      </c>
      <c r="D48" s="35" t="inlineStr">
        <is>
          <t>Ampul</t>
        </is>
      </c>
      <c r="E48" s="22" t="n">
        <v>0</v>
      </c>
      <c r="F48" s="32" t="n"/>
      <c r="G48" s="24">
        <f>E48+F48</f>
        <v/>
      </c>
      <c r="H48" s="23" t="n">
        <v>0</v>
      </c>
      <c r="I48" s="25">
        <f>G48-H48</f>
        <v/>
      </c>
      <c r="J48" s="26">
        <f>((H48*(20/100))+H48)-I48</f>
        <v/>
      </c>
      <c r="K48" s="26">
        <f>J48</f>
        <v/>
      </c>
      <c r="L48" s="33" t="n"/>
    </row>
    <row r="49" ht="15.75" customFormat="1" customHeight="1" s="2">
      <c r="B49" s="29" t="n">
        <v>40</v>
      </c>
      <c r="C49" s="30" t="inlineStr">
        <is>
          <t>cetriaxone Injeksi</t>
        </is>
      </c>
      <c r="D49" s="35" t="inlineStr">
        <is>
          <t>Ampul</t>
        </is>
      </c>
      <c r="E49" s="22" t="n">
        <v>0</v>
      </c>
      <c r="F49" s="32" t="n"/>
      <c r="G49" s="24">
        <f>E49+F49</f>
        <v/>
      </c>
      <c r="H49" s="23" t="n">
        <v>0</v>
      </c>
      <c r="I49" s="25">
        <f>G49-H49</f>
        <v/>
      </c>
      <c r="J49" s="26">
        <f>((H49*(20/100))+H49)-I49</f>
        <v/>
      </c>
      <c r="K49" s="26">
        <f>J49</f>
        <v/>
      </c>
      <c r="L49" s="33" t="inlineStr">
        <is>
          <t>ED</t>
        </is>
      </c>
    </row>
    <row r="50" ht="25.5" customFormat="1" customHeight="1" s="2">
      <c r="B50" s="20" t="n">
        <v>41</v>
      </c>
      <c r="C50" s="30" t="inlineStr">
        <is>
          <t>Clorpromazine 25 Mg</t>
        </is>
      </c>
      <c r="D50" s="35" t="inlineStr">
        <is>
          <t>Tablet</t>
        </is>
      </c>
      <c r="E50" s="22" t="n">
        <v>0</v>
      </c>
      <c r="F50" s="32" t="n"/>
      <c r="G50" s="24">
        <f>E50+F50</f>
        <v/>
      </c>
      <c r="H50" s="23" t="n">
        <v>0</v>
      </c>
      <c r="I50" s="25">
        <f>G50-H50</f>
        <v/>
      </c>
      <c r="J50" s="26">
        <f>((H50*(20/100))+H50)-I50</f>
        <v/>
      </c>
      <c r="K50" s="26">
        <f>J50</f>
        <v/>
      </c>
      <c r="L50" s="33" t="n"/>
    </row>
    <row r="51" ht="25.5" customFormat="1" customHeight="1" s="2">
      <c r="B51" s="29" t="n">
        <v>42</v>
      </c>
      <c r="C51" s="30" t="inlineStr">
        <is>
          <t>Clorpromazine 100  Mg</t>
        </is>
      </c>
      <c r="D51" s="35" t="inlineStr">
        <is>
          <t>Tablet</t>
        </is>
      </c>
      <c r="E51" s="22" t="n">
        <v>0</v>
      </c>
      <c r="F51" s="32" t="n"/>
      <c r="G51" s="24">
        <f>E51+F51</f>
        <v/>
      </c>
      <c r="H51" s="23" t="n">
        <v>0</v>
      </c>
      <c r="I51" s="25">
        <f>G51-H51</f>
        <v/>
      </c>
      <c r="J51" s="26">
        <f>((H51*(20/100))+H51)-I51</f>
        <v/>
      </c>
      <c r="K51" s="26">
        <f>J51</f>
        <v/>
      </c>
      <c r="L51" s="33" t="n"/>
    </row>
    <row r="52" ht="15" customFormat="1" customHeight="1" s="34">
      <c r="B52" s="20" t="n">
        <v>43</v>
      </c>
      <c r="C52" s="30" t="inlineStr">
        <is>
          <t>Deksametason injeksi  5 mg/ml-1ml</t>
        </is>
      </c>
      <c r="D52" s="35" t="inlineStr">
        <is>
          <t>Ampul</t>
        </is>
      </c>
      <c r="E52" s="22" t="n">
        <v>0</v>
      </c>
      <c r="F52" s="32" t="n"/>
      <c r="G52" s="24">
        <f>E52+F52</f>
        <v/>
      </c>
      <c r="H52" s="23" t="n">
        <v>0</v>
      </c>
      <c r="I52" s="25">
        <f>G52-H52</f>
        <v/>
      </c>
      <c r="J52" s="26">
        <f>((H52*(20/100))+H52)-I52</f>
        <v/>
      </c>
      <c r="K52" s="26">
        <f>J52</f>
        <v/>
      </c>
      <c r="L52" s="33" t="n"/>
    </row>
    <row r="53" ht="15" customFormat="1" customHeight="1" s="34">
      <c r="B53" s="29" t="n">
        <v>44</v>
      </c>
      <c r="C53" s="30" t="inlineStr">
        <is>
          <t xml:space="preserve">Deksametason tablet 0,5 mg </t>
        </is>
      </c>
      <c r="D53" s="35" t="inlineStr">
        <is>
          <t>Tablet</t>
        </is>
      </c>
      <c r="E53" s="22" t="n">
        <v>0</v>
      </c>
      <c r="F53" s="32" t="n"/>
      <c r="G53" s="24">
        <f>E53+F53</f>
        <v/>
      </c>
      <c r="H53" s="23" t="n">
        <v>0</v>
      </c>
      <c r="I53" s="25">
        <f>G53-H53</f>
        <v/>
      </c>
      <c r="J53" s="26">
        <f>((H53*(20/100))+H53)-I53</f>
        <v/>
      </c>
      <c r="K53" s="26">
        <f>J53</f>
        <v/>
      </c>
      <c r="L53" s="33" t="n"/>
    </row>
    <row r="54" ht="15" customFormat="1" customHeight="1" s="2">
      <c r="B54" s="20" t="n">
        <v>45</v>
      </c>
      <c r="C54" s="30" t="inlineStr">
        <is>
          <t>Desoximetasone Krem 0,25 %</t>
        </is>
      </c>
      <c r="D54" s="35" t="inlineStr">
        <is>
          <t>Tube</t>
        </is>
      </c>
      <c r="E54" s="22" t="n">
        <v>0</v>
      </c>
      <c r="F54" s="32" t="n"/>
      <c r="G54" s="24">
        <f>E54+F54</f>
        <v/>
      </c>
      <c r="H54" s="23" t="n">
        <v>0</v>
      </c>
      <c r="I54" s="25">
        <f>G54-H54</f>
        <v/>
      </c>
      <c r="J54" s="26">
        <f>((H54*(20/100))+H54)-I54</f>
        <v/>
      </c>
      <c r="K54" s="26">
        <f>J54</f>
        <v/>
      </c>
      <c r="L54" s="33" t="n"/>
    </row>
    <row r="55" ht="15" customFormat="1" customHeight="1" s="34">
      <c r="B55" s="29" t="n">
        <v>46</v>
      </c>
      <c r="C55" s="30" t="inlineStr">
        <is>
          <t xml:space="preserve">Difenhidramin injeksi 10 mg/ml </t>
        </is>
      </c>
      <c r="D55" s="35" t="inlineStr">
        <is>
          <t>Ampul</t>
        </is>
      </c>
      <c r="E55" s="22" t="n">
        <v>0</v>
      </c>
      <c r="F55" s="32" t="n"/>
      <c r="G55" s="24">
        <f>E55+F55</f>
        <v/>
      </c>
      <c r="H55" s="23" t="n">
        <v>0</v>
      </c>
      <c r="I55" s="25">
        <f>G55-H55</f>
        <v/>
      </c>
      <c r="J55" s="26">
        <f>((H55*(20/100))+H55)-I55</f>
        <v/>
      </c>
      <c r="K55" s="26">
        <f>J55</f>
        <v/>
      </c>
      <c r="L55" s="33" t="inlineStr">
        <is>
          <t>ED</t>
        </is>
      </c>
    </row>
    <row r="56" ht="15" customFormat="1" customHeight="1" s="2">
      <c r="B56" s="20" t="n">
        <v>47</v>
      </c>
      <c r="C56" s="30" t="inlineStr">
        <is>
          <t>Digoksin tablet 0,25 mg</t>
        </is>
      </c>
      <c r="D56" s="35" t="inlineStr">
        <is>
          <t>Tablet</t>
        </is>
      </c>
      <c r="E56" s="22" t="n">
        <v>0</v>
      </c>
      <c r="F56" s="32" t="n"/>
      <c r="G56" s="24">
        <f>E56+F56</f>
        <v/>
      </c>
      <c r="H56" s="23" t="n">
        <v>0</v>
      </c>
      <c r="I56" s="25">
        <f>G56-H56</f>
        <v/>
      </c>
      <c r="J56" s="26">
        <f>((H56*(20/100))+H56)-I56</f>
        <v/>
      </c>
      <c r="K56" s="26">
        <f>J56</f>
        <v/>
      </c>
      <c r="L56" s="33" t="n"/>
    </row>
    <row r="57" ht="15.75" customFormat="1" customHeight="1" s="2">
      <c r="B57" s="29" t="n">
        <v>48</v>
      </c>
      <c r="C57" s="30" t="inlineStr">
        <is>
          <t>Domperidon sirup</t>
        </is>
      </c>
      <c r="D57" s="35" t="inlineStr">
        <is>
          <t>Botol</t>
        </is>
      </c>
      <c r="E57" s="22" t="n">
        <v>0</v>
      </c>
      <c r="F57" s="32" t="n"/>
      <c r="G57" s="24">
        <f>E57+F57</f>
        <v/>
      </c>
      <c r="H57" s="23" t="n">
        <v>0</v>
      </c>
      <c r="I57" s="25">
        <f>G57-H57</f>
        <v/>
      </c>
      <c r="J57" s="26">
        <f>((H57*(20/100))+H57)-I57</f>
        <v/>
      </c>
      <c r="K57" s="26">
        <f>J57</f>
        <v/>
      </c>
      <c r="L57" s="33" t="n"/>
    </row>
    <row r="58" ht="15.75" customFormat="1" customHeight="1" s="2">
      <c r="B58" s="20" t="n">
        <v>49</v>
      </c>
      <c r="C58" s="30" t="inlineStr">
        <is>
          <t>Domperidon Tablet</t>
        </is>
      </c>
      <c r="D58" s="35" t="inlineStr">
        <is>
          <t>Tablet</t>
        </is>
      </c>
      <c r="E58" s="22" t="n">
        <v>0</v>
      </c>
      <c r="F58" s="32" t="n"/>
      <c r="G58" s="24">
        <f>E58+F58</f>
        <v/>
      </c>
      <c r="H58" s="23" t="n">
        <v>0</v>
      </c>
      <c r="I58" s="25">
        <f>G58-H58</f>
        <v/>
      </c>
      <c r="J58" s="26">
        <f>((H58*(20/100))+H58)-I58</f>
        <v/>
      </c>
      <c r="K58" s="26">
        <f>J58</f>
        <v/>
      </c>
      <c r="L58" s="33" t="n"/>
    </row>
    <row r="59" ht="15" customFormat="1" customHeight="1" s="2">
      <c r="B59" s="29" t="n">
        <v>50</v>
      </c>
      <c r="C59" s="30" t="inlineStr">
        <is>
          <t>Domperidon Tablet/VOMIPER</t>
        </is>
      </c>
      <c r="D59" s="35" t="inlineStr">
        <is>
          <t>Tablet</t>
        </is>
      </c>
      <c r="E59" s="22" t="n">
        <v>0</v>
      </c>
      <c r="F59" s="32" t="n"/>
      <c r="G59" s="24">
        <f>E59+F59</f>
        <v/>
      </c>
      <c r="H59" s="23" t="n">
        <v>0</v>
      </c>
      <c r="I59" s="25">
        <f>G59-H59</f>
        <v/>
      </c>
      <c r="J59" s="26">
        <f>((H59*(20/100))+H59)-I59</f>
        <v/>
      </c>
      <c r="K59" s="26">
        <f>J59</f>
        <v/>
      </c>
      <c r="L59" s="33" t="n"/>
    </row>
    <row r="60" ht="15" customFormat="1" customHeight="1" s="2">
      <c r="B60" s="20" t="n">
        <v>51</v>
      </c>
      <c r="C60" s="30" t="inlineStr">
        <is>
          <t>Dohixat</t>
        </is>
      </c>
      <c r="D60" s="35" t="inlineStr">
        <is>
          <t>Tablet</t>
        </is>
      </c>
      <c r="E60" s="22" t="n">
        <v>0</v>
      </c>
      <c r="F60" s="32" t="n"/>
      <c r="G60" s="24">
        <f>E60+F60</f>
        <v/>
      </c>
      <c r="H60" s="23" t="n">
        <v>0</v>
      </c>
      <c r="I60" s="25">
        <f>G60-H60</f>
        <v/>
      </c>
      <c r="J60" s="26">
        <f>((H60*(20/100))+H60)-I60</f>
        <v/>
      </c>
      <c r="K60" s="26">
        <f>J60</f>
        <v/>
      </c>
      <c r="L60" s="33" t="n"/>
    </row>
    <row r="61" ht="15" customFormat="1" customHeight="1" s="34">
      <c r="B61" s="29" t="n">
        <v>52</v>
      </c>
      <c r="C61" s="30" t="inlineStr">
        <is>
          <t xml:space="preserve">Epinefrin ( Adrenalin ) injeksi 0,1 % </t>
        </is>
      </c>
      <c r="D61" s="35" t="inlineStr">
        <is>
          <t>Ampul</t>
        </is>
      </c>
      <c r="E61" s="22" t="n">
        <v>0</v>
      </c>
      <c r="F61" s="32" t="n"/>
      <c r="G61" s="24">
        <f>E61+F61</f>
        <v/>
      </c>
      <c r="H61" s="23" t="n">
        <v>0</v>
      </c>
      <c r="I61" s="25">
        <f>G61-H61</f>
        <v/>
      </c>
      <c r="J61" s="26">
        <f>((H61*(20/100))+H61)-I61</f>
        <v/>
      </c>
      <c r="K61" s="26">
        <f>J61</f>
        <v/>
      </c>
      <c r="L61" s="33" t="n"/>
    </row>
    <row r="62" ht="15" customFormat="1" customHeight="1" s="2">
      <c r="B62" s="20" t="n">
        <v>53</v>
      </c>
      <c r="C62" s="30" t="inlineStr">
        <is>
          <t xml:space="preserve">Eritromisin kapsul 500 mg </t>
        </is>
      </c>
      <c r="D62" s="35" t="inlineStr">
        <is>
          <t>Kapsul</t>
        </is>
      </c>
      <c r="E62" s="22" t="n">
        <v>0</v>
      </c>
      <c r="F62" s="32" t="n"/>
      <c r="G62" s="24">
        <f>E62+F62</f>
        <v/>
      </c>
      <c r="H62" s="23" t="n">
        <v>0</v>
      </c>
      <c r="I62" s="25">
        <f>G62-H62</f>
        <v/>
      </c>
      <c r="J62" s="26">
        <f>((H62*(20/100))+H62)-I62</f>
        <v/>
      </c>
      <c r="K62" s="26">
        <f>J62</f>
        <v/>
      </c>
      <c r="L62" s="33" t="n"/>
    </row>
    <row r="63" ht="15" customFormat="1" customHeight="1" s="2">
      <c r="B63" s="29" t="n">
        <v>54</v>
      </c>
      <c r="C63" s="30" t="inlineStr">
        <is>
          <t>Etakridin (Rivanol) Larutan 0,1 %  - 300 ml</t>
        </is>
      </c>
      <c r="D63" s="35" t="inlineStr">
        <is>
          <t>Botol</t>
        </is>
      </c>
      <c r="E63" s="22" t="n">
        <v>0</v>
      </c>
      <c r="F63" s="32" t="n"/>
      <c r="G63" s="24">
        <f>E63+F63</f>
        <v/>
      </c>
      <c r="H63" s="23" t="n">
        <v>0</v>
      </c>
      <c r="I63" s="25">
        <f>G63-H63</f>
        <v/>
      </c>
      <c r="J63" s="26">
        <f>((H63*(20/100))+H63)-I63</f>
        <v/>
      </c>
      <c r="K63" s="26">
        <f>J63</f>
        <v/>
      </c>
      <c r="L63" s="33" t="n"/>
    </row>
    <row r="64" ht="15" customFormat="1" customHeight="1" s="2">
      <c r="B64" s="20" t="n">
        <v>55</v>
      </c>
      <c r="C64" s="37" t="inlineStr">
        <is>
          <t>Fitomenadion(Vit. K1)  injeksi</t>
        </is>
      </c>
      <c r="D64" s="35" t="inlineStr">
        <is>
          <t>Ampul</t>
        </is>
      </c>
      <c r="E64" s="22" t="n">
        <v>0</v>
      </c>
      <c r="F64" s="32" t="n"/>
      <c r="G64" s="24">
        <f>E64+F64</f>
        <v/>
      </c>
      <c r="H64" s="23" t="n">
        <v>0</v>
      </c>
      <c r="I64" s="25">
        <f>G64-H64</f>
        <v/>
      </c>
      <c r="J64" s="26">
        <f>((H64*(20/100))+H64)-I64</f>
        <v/>
      </c>
      <c r="K64" s="26">
        <f>J64</f>
        <v/>
      </c>
      <c r="L64" s="33" t="n"/>
    </row>
    <row r="65" ht="15" customFormat="1" customHeight="1" s="2">
      <c r="B65" s="29" t="n">
        <v>56</v>
      </c>
      <c r="C65" s="30" t="inlineStr">
        <is>
          <t>Fitomenadion(Vit. K1) tablet salut gula 10 mg</t>
        </is>
      </c>
      <c r="D65" s="35" t="inlineStr">
        <is>
          <t>Tablet</t>
        </is>
      </c>
      <c r="E65" s="22" t="n">
        <v>0</v>
      </c>
      <c r="F65" s="32" t="n"/>
      <c r="G65" s="24">
        <f>E65+F65</f>
        <v/>
      </c>
      <c r="H65" s="23" t="n">
        <v>0</v>
      </c>
      <c r="I65" s="25">
        <f>G65-H65</f>
        <v/>
      </c>
      <c r="J65" s="26">
        <f>((H65*(20/100))+H65)-I65</f>
        <v/>
      </c>
      <c r="K65" s="26">
        <f>J65</f>
        <v/>
      </c>
      <c r="L65" s="33" t="n"/>
    </row>
    <row r="66" ht="15.75" customFormat="1" customHeight="1" s="2">
      <c r="B66" s="20" t="n">
        <v>57</v>
      </c>
      <c r="C66" s="30" t="inlineStr">
        <is>
          <t>Fluocuinolon salep/Synarcus</t>
        </is>
      </c>
      <c r="D66" s="35" t="inlineStr">
        <is>
          <t>Pot</t>
        </is>
      </c>
      <c r="E66" s="22" t="n">
        <v>0</v>
      </c>
      <c r="F66" s="32" t="n"/>
      <c r="G66" s="24">
        <f>E66+F66</f>
        <v/>
      </c>
      <c r="H66" s="23" t="n">
        <v>0</v>
      </c>
      <c r="I66" s="25">
        <f>G66-H66</f>
        <v/>
      </c>
      <c r="J66" s="26">
        <f>((H66*(20/100))+H66)-I66</f>
        <v/>
      </c>
      <c r="K66" s="26">
        <f>J66</f>
        <v/>
      </c>
      <c r="L66" s="33" t="n"/>
    </row>
    <row r="67" ht="15" customFormat="1" customHeight="1" s="2">
      <c r="B67" s="29" t="n">
        <v>58</v>
      </c>
      <c r="C67" s="30" t="inlineStr">
        <is>
          <t>Furosemid tablet 40 mg/Farsiretik</t>
        </is>
      </c>
      <c r="D67" s="35" t="inlineStr">
        <is>
          <t>Tablet</t>
        </is>
      </c>
      <c r="E67" s="22" t="n">
        <v>0</v>
      </c>
      <c r="F67" s="32" t="n"/>
      <c r="G67" s="24">
        <f>E67+F67</f>
        <v/>
      </c>
      <c r="H67" s="23" t="n">
        <v>0</v>
      </c>
      <c r="I67" s="25">
        <f>G67-H67</f>
        <v/>
      </c>
      <c r="J67" s="26">
        <f>((H67*(20/100))+H67)-I67</f>
        <v/>
      </c>
      <c r="K67" s="26">
        <f>J67</f>
        <v/>
      </c>
      <c r="L67" s="33" t="n"/>
    </row>
    <row r="68" ht="15" customFormat="1" customHeight="1" s="34">
      <c r="B68" s="20" t="n">
        <v>59</v>
      </c>
      <c r="C68" s="30" t="inlineStr">
        <is>
          <t>Garam Oralit I serbuk, kombinasi / MINERAL MIX</t>
        </is>
      </c>
      <c r="D68" s="35" t="inlineStr">
        <is>
          <t>Sach</t>
        </is>
      </c>
      <c r="E68" s="22" t="n">
        <v>0</v>
      </c>
      <c r="F68" s="32" t="n"/>
      <c r="G68" s="24">
        <f>E68+F68</f>
        <v/>
      </c>
      <c r="H68" s="23" t="n">
        <v>0</v>
      </c>
      <c r="I68" s="25">
        <f>G68-H68</f>
        <v/>
      </c>
      <c r="J68" s="26">
        <f>((H68*(20/100))+H68)-I68</f>
        <v/>
      </c>
      <c r="K68" s="26">
        <f>J68</f>
        <v/>
      </c>
      <c r="L68" s="33" t="n"/>
    </row>
    <row r="69" ht="15" customFormat="1" customHeight="1" s="40">
      <c r="B69" s="29" t="n">
        <v>60</v>
      </c>
      <c r="C69" s="30" t="inlineStr">
        <is>
          <t>Gabapentin</t>
        </is>
      </c>
      <c r="D69" s="39" t="inlineStr">
        <is>
          <t>Tablet</t>
        </is>
      </c>
      <c r="E69" s="22" t="n">
        <v>0</v>
      </c>
      <c r="F69" s="32" t="n"/>
      <c r="G69" s="24">
        <f>E69+F69</f>
        <v/>
      </c>
      <c r="H69" s="23" t="n">
        <v>0</v>
      </c>
      <c r="I69" s="25">
        <f>G69-H69</f>
        <v/>
      </c>
      <c r="J69" s="26">
        <f>((H69*(20/100))+H69)-I69</f>
        <v/>
      </c>
      <c r="K69" s="26">
        <f>J69</f>
        <v/>
      </c>
      <c r="L69" s="33" t="n"/>
    </row>
    <row r="70" ht="15" customFormat="1" customHeight="1" s="34">
      <c r="B70" s="20" t="n">
        <v>61</v>
      </c>
      <c r="C70" s="30" t="inlineStr">
        <is>
          <t xml:space="preserve">Gentamycin salep Kulit 0,1%  </t>
        </is>
      </c>
      <c r="D70" s="35" t="inlineStr">
        <is>
          <t>Tube</t>
        </is>
      </c>
      <c r="E70" s="22" t="n">
        <v>0</v>
      </c>
      <c r="F70" s="32" t="n"/>
      <c r="G70" s="24">
        <f>E70+F70</f>
        <v/>
      </c>
      <c r="H70" s="23" t="n">
        <v>0</v>
      </c>
      <c r="I70" s="25">
        <f>G70-H70</f>
        <v/>
      </c>
      <c r="J70" s="26">
        <f>((H70*(20/100))+H70)-I70</f>
        <v/>
      </c>
      <c r="K70" s="26">
        <f>J70</f>
        <v/>
      </c>
      <c r="L70" s="33" t="n"/>
    </row>
    <row r="71" ht="15" customFormat="1" customHeight="1" s="34">
      <c r="B71" s="29" t="n">
        <v>62</v>
      </c>
      <c r="C71" s="30" t="inlineStr">
        <is>
          <t xml:space="preserve">Gentamycin salep mata 0,3%  </t>
        </is>
      </c>
      <c r="D71" s="35" t="inlineStr">
        <is>
          <t>Tube</t>
        </is>
      </c>
      <c r="E71" s="22" t="n">
        <v>0</v>
      </c>
      <c r="F71" s="32" t="n"/>
      <c r="G71" s="24">
        <f>E71+F71</f>
        <v/>
      </c>
      <c r="H71" s="23" t="n">
        <v>0</v>
      </c>
      <c r="I71" s="25">
        <f>G71-H71</f>
        <v/>
      </c>
      <c r="J71" s="26">
        <f>((H71*(20/100))+H71)-I71</f>
        <v/>
      </c>
      <c r="K71" s="26">
        <f>J71</f>
        <v/>
      </c>
      <c r="L71" s="33" t="n"/>
    </row>
    <row r="72" ht="15" customFormat="1" customHeight="1" s="2">
      <c r="B72" s="20" t="n">
        <v>63</v>
      </c>
      <c r="C72" s="30" t="inlineStr">
        <is>
          <t>Gentamycin Tetes Mata</t>
        </is>
      </c>
      <c r="D72" s="35" t="inlineStr">
        <is>
          <t>Botol</t>
        </is>
      </c>
      <c r="E72" s="22" t="n">
        <v>0</v>
      </c>
      <c r="F72" s="23" t="n"/>
      <c r="G72" s="24">
        <f>E72+F72</f>
        <v/>
      </c>
      <c r="H72" s="23" t="n">
        <v>0</v>
      </c>
      <c r="I72" s="25">
        <f>G72-H72</f>
        <v/>
      </c>
      <c r="J72" s="26">
        <f>((H72*(20/100))+H72)-I72</f>
        <v/>
      </c>
      <c r="K72" s="26">
        <f>J72</f>
        <v/>
      </c>
      <c r="L72" s="33" t="n"/>
    </row>
    <row r="73" ht="15" customFormat="1" customHeight="1" s="2">
      <c r="B73" s="29" t="n">
        <v>64</v>
      </c>
      <c r="C73" s="30" t="inlineStr">
        <is>
          <t>Glibenklamid  tablet 5 mg</t>
        </is>
      </c>
      <c r="D73" s="35" t="inlineStr">
        <is>
          <t>Tablet</t>
        </is>
      </c>
      <c r="E73" s="22" t="n">
        <v>0</v>
      </c>
      <c r="F73" s="32" t="n"/>
      <c r="G73" s="24">
        <f>E73+F73</f>
        <v/>
      </c>
      <c r="H73" s="23" t="n">
        <v>0</v>
      </c>
      <c r="I73" s="25">
        <f>G73-H73</f>
        <v/>
      </c>
      <c r="J73" s="26">
        <f>((H73*(20/100))+H73)-I73</f>
        <v/>
      </c>
      <c r="K73" s="26">
        <f>J73</f>
        <v/>
      </c>
      <c r="L73" s="33" t="n"/>
    </row>
    <row r="74" ht="15" customFormat="1" customHeight="1" s="2">
      <c r="B74" s="20" t="n">
        <v>65</v>
      </c>
      <c r="C74" s="30" t="inlineStr">
        <is>
          <t>Glimepirid  1 mg</t>
        </is>
      </c>
      <c r="D74" s="35" t="inlineStr">
        <is>
          <t>Tablet</t>
        </is>
      </c>
      <c r="E74" s="22" t="n">
        <v>0</v>
      </c>
      <c r="F74" s="32" t="n"/>
      <c r="G74" s="24">
        <f>E74+F74</f>
        <v/>
      </c>
      <c r="H74" s="23" t="n">
        <v>0</v>
      </c>
      <c r="I74" s="25">
        <f>G74-H74</f>
        <v/>
      </c>
      <c r="J74" s="26">
        <f>((H74*(20/100))+H74)-I74</f>
        <v/>
      </c>
      <c r="K74" s="26">
        <f>J74</f>
        <v/>
      </c>
      <c r="L74" s="33" t="n"/>
    </row>
    <row r="75" ht="15.75" customFormat="1" customHeight="1" s="2">
      <c r="B75" s="29" t="n">
        <v>66</v>
      </c>
      <c r="C75" s="30" t="inlineStr">
        <is>
          <t>Glimepirid 2 mg</t>
        </is>
      </c>
      <c r="D75" s="35" t="inlineStr">
        <is>
          <t>Tablet</t>
        </is>
      </c>
      <c r="E75" s="22" t="n">
        <v>0</v>
      </c>
      <c r="F75" s="32" t="n"/>
      <c r="G75" s="24">
        <f>E75+F75</f>
        <v/>
      </c>
      <c r="H75" s="23" t="n">
        <v>0</v>
      </c>
      <c r="I75" s="25">
        <f>G75-H75</f>
        <v/>
      </c>
      <c r="J75" s="26">
        <f>((H75*(20/100))+H75)-I75</f>
        <v/>
      </c>
      <c r="K75" s="26">
        <f>J75</f>
        <v/>
      </c>
      <c r="L75" s="33" t="n"/>
    </row>
    <row r="76" ht="15.75" customFormat="1" customHeight="1" s="34">
      <c r="B76" s="20" t="n">
        <v>67</v>
      </c>
      <c r="C76" s="30" t="inlineStr">
        <is>
          <t>Guaifenesin 100 mg</t>
        </is>
      </c>
      <c r="D76" s="35" t="inlineStr">
        <is>
          <t>Tablet</t>
        </is>
      </c>
      <c r="E76" s="22" t="n">
        <v>0</v>
      </c>
      <c r="F76" s="32" t="n"/>
      <c r="G76" s="24">
        <f>E76+F76</f>
        <v/>
      </c>
      <c r="H76" s="23" t="n">
        <v>0</v>
      </c>
      <c r="I76" s="25">
        <f>G76-H76</f>
        <v/>
      </c>
      <c r="J76" s="26">
        <f>((H76*(20/100))+H76)-I76</f>
        <v/>
      </c>
      <c r="K76" s="26">
        <f>J76</f>
        <v/>
      </c>
      <c r="L76" s="33" t="n"/>
    </row>
    <row r="77" ht="15" customFormat="1" customHeight="1" s="2">
      <c r="B77" s="29" t="n">
        <v>68</v>
      </c>
      <c r="C77" s="30" t="inlineStr">
        <is>
          <t>Glucose Larutan Infus 5% steril - 500 ml</t>
        </is>
      </c>
      <c r="D77" s="35" t="inlineStr">
        <is>
          <t>Botol</t>
        </is>
      </c>
      <c r="E77" s="22" t="n">
        <v>0</v>
      </c>
      <c r="F77" s="32" t="n"/>
      <c r="G77" s="24">
        <f>E77+F77</f>
        <v/>
      </c>
      <c r="H77" s="23" t="n">
        <v>0</v>
      </c>
      <c r="I77" s="25">
        <f>G77-H77</f>
        <v/>
      </c>
      <c r="J77" s="26">
        <f>((H77*(20/100))+H77)-I77</f>
        <v/>
      </c>
      <c r="K77" s="26">
        <f>J77</f>
        <v/>
      </c>
      <c r="L77" s="33" t="n"/>
    </row>
    <row r="78" ht="15" customFormat="1" customHeight="1" s="38">
      <c r="B78" s="20" t="n">
        <v>69</v>
      </c>
      <c r="C78" s="30" t="inlineStr">
        <is>
          <t>Glucose Larutan Infus 10% steril - 500 ml</t>
        </is>
      </c>
      <c r="D78" s="35" t="inlineStr">
        <is>
          <t>Botol</t>
        </is>
      </c>
      <c r="E78" s="22" t="n">
        <v>0</v>
      </c>
      <c r="F78" s="32" t="n"/>
      <c r="G78" s="24">
        <f>E78+F78</f>
        <v/>
      </c>
      <c r="H78" s="23" t="n">
        <v>0</v>
      </c>
      <c r="I78" s="25">
        <f>G78-H78</f>
        <v/>
      </c>
      <c r="J78" s="26">
        <f>((H78*(20/100))+H78)-I78</f>
        <v/>
      </c>
      <c r="K78" s="26">
        <f>J78</f>
        <v/>
      </c>
      <c r="L78" s="33" t="n"/>
    </row>
    <row r="79" ht="15" customFormat="1" customHeight="1" s="2">
      <c r="B79" s="29" t="n">
        <v>70</v>
      </c>
      <c r="C79" s="30" t="inlineStr">
        <is>
          <t xml:space="preserve">Griseofulvin tablet 125 mg  </t>
        </is>
      </c>
      <c r="D79" s="35" t="inlineStr">
        <is>
          <t>Tablet</t>
        </is>
      </c>
      <c r="E79" s="22" t="n">
        <v>0</v>
      </c>
      <c r="F79" s="32" t="n"/>
      <c r="G79" s="24">
        <f>E79+F79</f>
        <v/>
      </c>
      <c r="H79" s="23" t="n">
        <v>0</v>
      </c>
      <c r="I79" s="25">
        <f>G79-H79</f>
        <v/>
      </c>
      <c r="J79" s="26">
        <f>((H79*(20/100))+H79)-I79</f>
        <v/>
      </c>
      <c r="K79" s="26">
        <f>J79</f>
        <v/>
      </c>
      <c r="L79" s="33" t="n"/>
    </row>
    <row r="80" ht="15" customFormat="1" customHeight="1" s="2">
      <c r="B80" s="20" t="n">
        <v>71</v>
      </c>
      <c r="C80" s="30" t="inlineStr">
        <is>
          <t>Hidroklortiazid (HCT) tablet 25 mg</t>
        </is>
      </c>
      <c r="D80" s="35" t="inlineStr">
        <is>
          <t>Tablet</t>
        </is>
      </c>
      <c r="E80" s="22" t="n">
        <v>0</v>
      </c>
      <c r="F80" s="32" t="n"/>
      <c r="G80" s="24">
        <f>E80+F80</f>
        <v/>
      </c>
      <c r="H80" s="23" t="n">
        <v>0</v>
      </c>
      <c r="I80" s="25">
        <f>G80-H80</f>
        <v/>
      </c>
      <c r="J80" s="26">
        <f>((H80*(20/100))+H80)-I80</f>
        <v/>
      </c>
      <c r="K80" s="26">
        <f>J80</f>
        <v/>
      </c>
      <c r="L80" s="33" t="n"/>
    </row>
    <row r="81" ht="15" customFormat="1" customHeight="1" s="2">
      <c r="B81" s="29" t="n">
        <v>72</v>
      </c>
      <c r="C81" s="30" t="inlineStr">
        <is>
          <t xml:space="preserve">Hidrokortison krim 2,5 % - 5 gr </t>
        </is>
      </c>
      <c r="D81" s="35" t="inlineStr">
        <is>
          <t>Tube</t>
        </is>
      </c>
      <c r="E81" s="22" t="n">
        <v>0</v>
      </c>
      <c r="F81" s="32" t="n"/>
      <c r="G81" s="24">
        <f>E81+F81</f>
        <v/>
      </c>
      <c r="H81" s="23" t="n">
        <v>0</v>
      </c>
      <c r="I81" s="25">
        <f>G81-H81</f>
        <v/>
      </c>
      <c r="J81" s="26">
        <f>((H81*(20/100))+H81)-I81</f>
        <v/>
      </c>
      <c r="K81" s="26">
        <f>J81</f>
        <v/>
      </c>
      <c r="L81" s="33" t="n"/>
    </row>
    <row r="82" ht="15" customFormat="1" customHeight="1" s="34">
      <c r="B82" s="20" t="n">
        <v>73</v>
      </c>
      <c r="C82" s="30" t="inlineStr">
        <is>
          <t>Hyiosin Bromida</t>
        </is>
      </c>
      <c r="D82" s="35" t="inlineStr">
        <is>
          <t>Tablet</t>
        </is>
      </c>
      <c r="E82" s="22" t="n">
        <v>0</v>
      </c>
      <c r="F82" s="32" t="n"/>
      <c r="G82" s="24">
        <f>E82+F82</f>
        <v/>
      </c>
      <c r="H82" s="23" t="n">
        <v>0</v>
      </c>
      <c r="I82" s="25">
        <f>G82-H82</f>
        <v/>
      </c>
      <c r="J82" s="26">
        <f>((H82*(20/100))+H82)-I82</f>
        <v/>
      </c>
      <c r="K82" s="26">
        <f>J82</f>
        <v/>
      </c>
      <c r="L82" s="33" t="n"/>
    </row>
    <row r="83" ht="15.75" customFormat="1" customHeight="1" s="2">
      <c r="B83" s="29" t="n">
        <v>74</v>
      </c>
      <c r="C83" s="37" t="inlineStr">
        <is>
          <t>Ibuprofen Syrup</t>
        </is>
      </c>
      <c r="D83" s="35" t="inlineStr">
        <is>
          <t>Botol</t>
        </is>
      </c>
      <c r="E83" s="22" t="n">
        <v>0</v>
      </c>
      <c r="F83" s="32" t="n"/>
      <c r="G83" s="24">
        <f>E83+F83</f>
        <v/>
      </c>
      <c r="H83" s="23" t="n">
        <v>0</v>
      </c>
      <c r="I83" s="25">
        <f>G83-H83</f>
        <v/>
      </c>
      <c r="J83" s="26">
        <f>((H83*(20/100))+H83)-I83</f>
        <v/>
      </c>
      <c r="K83" s="26">
        <f>J83</f>
        <v/>
      </c>
      <c r="L83" s="33" t="n"/>
    </row>
    <row r="84" ht="15" customFormat="1" customHeight="1" s="2">
      <c r="B84" s="20" t="n">
        <v>75</v>
      </c>
      <c r="C84" s="30" t="inlineStr">
        <is>
          <t>Ibuprofen tablet 200 mg</t>
        </is>
      </c>
      <c r="D84" s="35" t="inlineStr">
        <is>
          <t>Tablet</t>
        </is>
      </c>
      <c r="E84" s="22" t="n">
        <v>0</v>
      </c>
      <c r="F84" s="32" t="n"/>
      <c r="G84" s="24">
        <f>E84+F84</f>
        <v/>
      </c>
      <c r="H84" s="23" t="n">
        <v>0</v>
      </c>
      <c r="I84" s="25">
        <f>G84-H84</f>
        <v/>
      </c>
      <c r="J84" s="26">
        <f>((H84*(20/100))+H84)-I84</f>
        <v/>
      </c>
      <c r="K84" s="26">
        <f>J84</f>
        <v/>
      </c>
      <c r="L84" s="33" t="n"/>
    </row>
    <row r="85" ht="15" customFormat="1" customHeight="1" s="2">
      <c r="B85" s="29" t="n">
        <v>76</v>
      </c>
      <c r="C85" s="30" t="inlineStr">
        <is>
          <t>Ibuprofen tablet 400 mg</t>
        </is>
      </c>
      <c r="D85" s="35" t="inlineStr">
        <is>
          <t>Tablet</t>
        </is>
      </c>
      <c r="E85" s="22" t="n">
        <v>0</v>
      </c>
      <c r="F85" s="32" t="n"/>
      <c r="G85" s="24">
        <f>E85+F85</f>
        <v/>
      </c>
      <c r="H85" s="23" t="n">
        <v>0</v>
      </c>
      <c r="I85" s="25">
        <f>G85-H85</f>
        <v/>
      </c>
      <c r="J85" s="26">
        <f>((H85*(20/100))+H85)-I85</f>
        <v/>
      </c>
      <c r="K85" s="26">
        <f>J85</f>
        <v/>
      </c>
      <c r="L85" s="33" t="n"/>
    </row>
    <row r="86" ht="15" customFormat="1" customHeight="1" s="34">
      <c r="B86" s="20" t="n">
        <v>77</v>
      </c>
      <c r="C86" s="30" t="inlineStr">
        <is>
          <t>Isosorbid dinitrat (ISDN) tablet sublingual 5  mg</t>
        </is>
      </c>
      <c r="D86" s="35" t="inlineStr">
        <is>
          <t>Tablet</t>
        </is>
      </c>
      <c r="E86" s="22" t="n">
        <v>0</v>
      </c>
      <c r="F86" s="32" t="n"/>
      <c r="G86" s="24">
        <f>E86+F86</f>
        <v/>
      </c>
      <c r="H86" s="23" t="n">
        <v>0</v>
      </c>
      <c r="I86" s="25">
        <f>G86-H86</f>
        <v/>
      </c>
      <c r="J86" s="26">
        <f>((H86*(20/100))+H86)-I86</f>
        <v/>
      </c>
      <c r="K86" s="26">
        <f>J86</f>
        <v/>
      </c>
      <c r="L86" s="33" t="n"/>
    </row>
    <row r="87" ht="15" customFormat="1" customHeight="1" s="2">
      <c r="B87" s="29" t="n">
        <v>78</v>
      </c>
      <c r="C87" s="30" t="inlineStr">
        <is>
          <t>Kalsium laktat (Kalk) tablet 500 mg</t>
        </is>
      </c>
      <c r="D87" s="35" t="inlineStr">
        <is>
          <t>Tablet</t>
        </is>
      </c>
      <c r="E87" s="22" t="n">
        <v>0</v>
      </c>
      <c r="F87" s="32" t="n"/>
      <c r="G87" s="24">
        <f>E87+F87</f>
        <v/>
      </c>
      <c r="H87" s="23" t="n">
        <v>0</v>
      </c>
      <c r="I87" s="25">
        <f>G87-H87</f>
        <v/>
      </c>
      <c r="J87" s="26">
        <f>((H87*(20/100))+H87)-I87</f>
        <v/>
      </c>
      <c r="K87" s="26">
        <f>J87</f>
        <v/>
      </c>
      <c r="L87" s="33" t="n"/>
    </row>
    <row r="88" ht="15" customFormat="1" customHeight="1" s="2">
      <c r="B88" s="20" t="n">
        <v>79</v>
      </c>
      <c r="C88" s="30" t="inlineStr">
        <is>
          <t>Kaptopril tablet 12,5 mg</t>
        </is>
      </c>
      <c r="D88" s="35" t="inlineStr">
        <is>
          <t>Tablet</t>
        </is>
      </c>
      <c r="E88" s="22" t="n">
        <v>0</v>
      </c>
      <c r="F88" s="32" t="n"/>
      <c r="G88" s="24">
        <f>E88+F88</f>
        <v/>
      </c>
      <c r="H88" s="23" t="n">
        <v>0</v>
      </c>
      <c r="I88" s="25">
        <f>G88-H88</f>
        <v/>
      </c>
      <c r="J88" s="26">
        <f>((H88*(20/100))+H88)-I88</f>
        <v/>
      </c>
      <c r="K88" s="26">
        <f>J88</f>
        <v/>
      </c>
      <c r="L88" s="33" t="n"/>
    </row>
    <row r="89" ht="15" customFormat="1" customHeight="1" s="34">
      <c r="B89" s="29" t="n">
        <v>80</v>
      </c>
      <c r="C89" s="30" t="inlineStr">
        <is>
          <t>Kaptopril tablet 25 mg</t>
        </is>
      </c>
      <c r="D89" s="35" t="inlineStr">
        <is>
          <t>Tablet</t>
        </is>
      </c>
      <c r="E89" s="22" t="n">
        <v>0</v>
      </c>
      <c r="F89" s="32" t="n"/>
      <c r="G89" s="24">
        <f>E89+F89</f>
        <v/>
      </c>
      <c r="H89" s="23" t="n">
        <v>0</v>
      </c>
      <c r="I89" s="25">
        <f>G89-H89</f>
        <v/>
      </c>
      <c r="J89" s="26">
        <f>((H89*(20/100))+H89)-I89</f>
        <v/>
      </c>
      <c r="K89" s="26">
        <f>J89</f>
        <v/>
      </c>
      <c r="L89" s="33" t="n"/>
    </row>
    <row r="90" ht="15" customFormat="1" customHeight="1" s="2">
      <c r="B90" s="20" t="n">
        <v>81</v>
      </c>
      <c r="C90" s="30" t="inlineStr">
        <is>
          <t xml:space="preserve">Ketokonazol tablet 200 mg   </t>
        </is>
      </c>
      <c r="D90" s="35" t="inlineStr">
        <is>
          <t>Tablet</t>
        </is>
      </c>
      <c r="E90" s="22" t="n">
        <v>0</v>
      </c>
      <c r="F90" s="32" t="n"/>
      <c r="G90" s="24">
        <f>E90+F90</f>
        <v/>
      </c>
      <c r="H90" s="23" t="n">
        <v>0</v>
      </c>
      <c r="I90" s="25">
        <f>G90-H90</f>
        <v/>
      </c>
      <c r="J90" s="26">
        <f>((H90*(20/100))+H90)-I90</f>
        <v/>
      </c>
      <c r="K90" s="26">
        <f>J90</f>
        <v/>
      </c>
      <c r="L90" s="33" t="inlineStr">
        <is>
          <t>ED</t>
        </is>
      </c>
    </row>
    <row r="91" ht="15" customFormat="1" customHeight="1" s="34">
      <c r="B91" s="29" t="n">
        <v>82</v>
      </c>
      <c r="C91" s="30" t="inlineStr">
        <is>
          <t>Ketokonazole Krem</t>
        </is>
      </c>
      <c r="D91" s="35" t="inlineStr">
        <is>
          <t>Tube</t>
        </is>
      </c>
      <c r="E91" s="22" t="n">
        <v>0</v>
      </c>
      <c r="F91" s="32" t="n"/>
      <c r="G91" s="24">
        <f>E91+F91</f>
        <v/>
      </c>
      <c r="H91" s="23" t="n">
        <v>0</v>
      </c>
      <c r="I91" s="25">
        <f>G91-H91</f>
        <v/>
      </c>
      <c r="J91" s="26">
        <f>((H91*(20/100))+H91)-I91</f>
        <v/>
      </c>
      <c r="K91" s="26">
        <f>J91</f>
        <v/>
      </c>
      <c r="L91" s="33" t="n"/>
    </row>
    <row r="92" ht="15" customFormat="1" customHeight="1" s="2">
      <c r="B92" s="20" t="n">
        <v>83</v>
      </c>
      <c r="C92" s="30" t="inlineStr">
        <is>
          <t>Ketorolak Injeksi/trolac</t>
        </is>
      </c>
      <c r="D92" s="35" t="inlineStr">
        <is>
          <t>Ampul</t>
        </is>
      </c>
      <c r="E92" s="22" t="n">
        <v>0</v>
      </c>
      <c r="F92" s="32" t="n"/>
      <c r="G92" s="24">
        <f>E92+F92</f>
        <v/>
      </c>
      <c r="H92" s="23" t="n">
        <v>0</v>
      </c>
      <c r="I92" s="25">
        <f>G92-H92</f>
        <v/>
      </c>
      <c r="J92" s="26">
        <f>((H92*(20/100))+H92)-I92</f>
        <v/>
      </c>
      <c r="K92" s="26">
        <f>J92</f>
        <v/>
      </c>
      <c r="L92" s="33" t="n"/>
    </row>
    <row r="93" ht="15.75" customFormat="1" customHeight="1" s="2">
      <c r="B93" s="29" t="n">
        <v>84</v>
      </c>
      <c r="C93" s="30" t="inlineStr">
        <is>
          <t>Kloramfenikol kapsul 250 mg</t>
        </is>
      </c>
      <c r="D93" s="35" t="inlineStr">
        <is>
          <t>Kapsul</t>
        </is>
      </c>
      <c r="E93" s="22" t="n">
        <v>0</v>
      </c>
      <c r="F93" s="32" t="n"/>
      <c r="G93" s="24">
        <f>E93+F93</f>
        <v/>
      </c>
      <c r="H93" s="23" t="n">
        <v>0</v>
      </c>
      <c r="I93" s="25">
        <f>G93-H93</f>
        <v/>
      </c>
      <c r="J93" s="26">
        <f>((H93*(20/100))+H93)-I93</f>
        <v/>
      </c>
      <c r="K93" s="26">
        <f>J93</f>
        <v/>
      </c>
      <c r="L93" s="33" t="n"/>
    </row>
    <row r="94" ht="15" customFormat="1" customHeight="1" s="2">
      <c r="B94" s="20" t="n">
        <v>85</v>
      </c>
      <c r="C94" s="30" t="inlineStr">
        <is>
          <t>Kloramfenikol Salep Kulit</t>
        </is>
      </c>
      <c r="D94" s="35" t="inlineStr">
        <is>
          <t>Tube</t>
        </is>
      </c>
      <c r="E94" s="22" t="n">
        <v>0</v>
      </c>
      <c r="F94" s="32" t="n"/>
      <c r="G94" s="24">
        <f>E94+F94</f>
        <v/>
      </c>
      <c r="H94" s="23" t="n">
        <v>0</v>
      </c>
      <c r="I94" s="25">
        <f>G94-H94</f>
        <v/>
      </c>
      <c r="J94" s="26">
        <f>((H94*(20/100))+H94)-I94</f>
        <v/>
      </c>
      <c r="K94" s="26">
        <f>J94</f>
        <v/>
      </c>
      <c r="L94" s="33" t="n"/>
    </row>
    <row r="95" ht="15" customFormat="1" customHeight="1" s="2">
      <c r="B95" s="29" t="n">
        <v>86</v>
      </c>
      <c r="C95" s="30" t="inlineStr">
        <is>
          <t>Kloramfenikol suspensi 125 mg/5ml - 60 ml</t>
        </is>
      </c>
      <c r="D95" s="35" t="inlineStr">
        <is>
          <t>Botol</t>
        </is>
      </c>
      <c r="E95" s="22" t="n">
        <v>0</v>
      </c>
      <c r="F95" s="32" t="n"/>
      <c r="G95" s="24">
        <f>E95+F95</f>
        <v/>
      </c>
      <c r="H95" s="23" t="n">
        <v>0</v>
      </c>
      <c r="I95" s="25">
        <f>G95-H95</f>
        <v/>
      </c>
      <c r="J95" s="26">
        <f>((H95*(20/100))+H95)-I95</f>
        <v/>
      </c>
      <c r="K95" s="26">
        <f>J95</f>
        <v/>
      </c>
      <c r="L95" s="33" t="n"/>
    </row>
    <row r="96" ht="15" customFormat="1" customHeight="1" s="2">
      <c r="B96" s="20" t="n">
        <v>87</v>
      </c>
      <c r="C96" s="30" t="inlineStr">
        <is>
          <t>Kloramfenikol tetes telinga  3 % - 5 ml</t>
        </is>
      </c>
      <c r="D96" s="35" t="inlineStr">
        <is>
          <t>Botol</t>
        </is>
      </c>
      <c r="E96" s="22" t="n">
        <v>0</v>
      </c>
      <c r="F96" s="32" t="n"/>
      <c r="G96" s="24">
        <f>E96+F96</f>
        <v/>
      </c>
      <c r="H96" s="23" t="n">
        <v>0</v>
      </c>
      <c r="I96" s="25">
        <f>G96-H96</f>
        <v/>
      </c>
      <c r="J96" s="26">
        <f>((H96*(20/100))+H96)-I96</f>
        <v/>
      </c>
      <c r="K96" s="26">
        <f>J96</f>
        <v/>
      </c>
      <c r="L96" s="33" t="n"/>
    </row>
    <row r="97" ht="18.75" customFormat="1" customHeight="1" s="2">
      <c r="B97" s="29" t="n">
        <v>88</v>
      </c>
      <c r="C97" s="41" t="inlineStr">
        <is>
          <t>Klorfeniramin maleat (CTM) tablet  4 mg</t>
        </is>
      </c>
      <c r="D97" s="35" t="inlineStr">
        <is>
          <t>Tablet</t>
        </is>
      </c>
      <c r="E97" s="22" t="n">
        <v>0</v>
      </c>
      <c r="F97" s="32" t="n"/>
      <c r="G97" s="24">
        <f>E97+F97</f>
        <v/>
      </c>
      <c r="H97" s="23" t="n">
        <v>0</v>
      </c>
      <c r="I97" s="25">
        <f>G97-H97</f>
        <v/>
      </c>
      <c r="J97" s="26">
        <f>((H97*(20/100))+H97)-I97</f>
        <v/>
      </c>
      <c r="K97" s="26">
        <f>J97</f>
        <v/>
      </c>
      <c r="L97" s="33" t="n"/>
    </row>
    <row r="98" ht="18" customFormat="1" customHeight="1" s="2">
      <c r="B98" s="20" t="n">
        <v>89</v>
      </c>
      <c r="C98" s="30" t="inlineStr">
        <is>
          <t>Kotrimoksazol DOEN I (dewasa) kombinasi : Sulfametoksazol 400 mg + Trimetoprim 80 mg</t>
        </is>
      </c>
      <c r="D98" s="35" t="inlineStr">
        <is>
          <t>Tablet</t>
        </is>
      </c>
      <c r="E98" s="22" t="n">
        <v>0</v>
      </c>
      <c r="F98" s="32" t="n"/>
      <c r="G98" s="24">
        <f>E98+F98</f>
        <v/>
      </c>
      <c r="H98" s="23" t="n">
        <v>0</v>
      </c>
      <c r="I98" s="25">
        <f>G98-H98</f>
        <v/>
      </c>
      <c r="J98" s="26">
        <f>((H98*(20/100))+H98)-I98</f>
        <v/>
      </c>
      <c r="K98" s="26">
        <f>J98</f>
        <v/>
      </c>
      <c r="L98" s="33" t="n"/>
    </row>
    <row r="99" ht="35.1" customFormat="1" customHeight="1" s="2">
      <c r="B99" s="29" t="n">
        <v>90</v>
      </c>
      <c r="C99" s="30" t="inlineStr">
        <is>
          <t>Kotrimoksazol DOEN II (pedriatik) kombinasi : Sulfametoksazol 100 mg + Trimetoprim 20 mg</t>
        </is>
      </c>
      <c r="D99" s="35" t="inlineStr">
        <is>
          <t>Tablet</t>
        </is>
      </c>
      <c r="E99" s="22" t="n">
        <v>0</v>
      </c>
      <c r="F99" s="32" t="n"/>
      <c r="G99" s="24">
        <f>E99+F99</f>
        <v/>
      </c>
      <c r="H99" s="23" t="n">
        <v>0</v>
      </c>
      <c r="I99" s="25">
        <f>G99-H99</f>
        <v/>
      </c>
      <c r="J99" s="26">
        <f>((H99*(20/100))+H99)-I99</f>
        <v/>
      </c>
      <c r="K99" s="26">
        <f>J99</f>
        <v/>
      </c>
      <c r="L99" s="33" t="n"/>
    </row>
    <row r="100" ht="27.95" customFormat="1" customHeight="1" s="2">
      <c r="B100" s="20" t="n">
        <v>91</v>
      </c>
      <c r="C100" s="30" t="inlineStr">
        <is>
          <t>Kotrimoksazol Suspensi kombinasi : Sulfametoksazol 200 mg + Trimetoprim 40 mg/ 5 ml - 60 ml</t>
        </is>
      </c>
      <c r="D100" s="35" t="inlineStr">
        <is>
          <t>Tablet</t>
        </is>
      </c>
      <c r="E100" s="22" t="n">
        <v>0</v>
      </c>
      <c r="F100" s="32" t="n"/>
      <c r="G100" s="24">
        <f>E100+F100</f>
        <v/>
      </c>
      <c r="H100" s="23" t="n">
        <v>0</v>
      </c>
      <c r="I100" s="25">
        <f>G100-H100</f>
        <v/>
      </c>
      <c r="J100" s="26">
        <f>((H100*(20/100))+H100)-I100</f>
        <v/>
      </c>
      <c r="K100" s="26">
        <f>J100</f>
        <v/>
      </c>
      <c r="L100" s="33" t="n"/>
    </row>
    <row r="101" ht="30.95" customFormat="1" customHeight="1" s="34">
      <c r="B101" s="29" t="n">
        <v>92</v>
      </c>
      <c r="C101" s="30" t="inlineStr">
        <is>
          <t>Lansoprazole</t>
        </is>
      </c>
      <c r="D101" s="35" t="inlineStr">
        <is>
          <t>Kapsul</t>
        </is>
      </c>
      <c r="E101" s="22" t="n">
        <v>0</v>
      </c>
      <c r="F101" s="32" t="n"/>
      <c r="G101" s="24">
        <f>E101+F101</f>
        <v/>
      </c>
      <c r="H101" s="23" t="n">
        <v>0</v>
      </c>
      <c r="I101" s="25">
        <f>G101-H101</f>
        <v/>
      </c>
      <c r="J101" s="26">
        <f>((H101*(20/100))+H101)-I101</f>
        <v/>
      </c>
      <c r="K101" s="26">
        <f>J101</f>
        <v/>
      </c>
      <c r="L101" s="33" t="n"/>
    </row>
    <row r="102" ht="30.95" customFormat="1" customHeight="1" s="34">
      <c r="B102" s="20" t="n">
        <v>93</v>
      </c>
      <c r="C102" s="30" t="inlineStr">
        <is>
          <t>Lidokain comp injeksi (Lidocain 2% (HCl) + Epinefrin 1 : 80.000) - 2 ml</t>
        </is>
      </c>
      <c r="D102" s="35" t="inlineStr">
        <is>
          <t>Ampul</t>
        </is>
      </c>
      <c r="E102" s="22" t="n">
        <v>0</v>
      </c>
      <c r="F102" s="32" t="n"/>
      <c r="G102" s="24">
        <f>E102+F102</f>
        <v/>
      </c>
      <c r="H102" s="23" t="n">
        <v>0</v>
      </c>
      <c r="I102" s="25">
        <f>G102-H102</f>
        <v/>
      </c>
      <c r="J102" s="26">
        <f>((H102*(20/100))+H102)-I102</f>
        <v/>
      </c>
      <c r="K102" s="26">
        <f>J102</f>
        <v/>
      </c>
      <c r="L102" s="33" t="n"/>
    </row>
    <row r="103" ht="15.75" customFormat="1" customHeight="1" s="2">
      <c r="B103" s="29" t="n">
        <v>94</v>
      </c>
      <c r="C103" s="30" t="inlineStr">
        <is>
          <t>Loperamid tablet 2 mg /ANTIDIA</t>
        </is>
      </c>
      <c r="D103" s="35" t="inlineStr">
        <is>
          <t>Tablet</t>
        </is>
      </c>
      <c r="E103" s="22" t="n">
        <v>0</v>
      </c>
      <c r="F103" s="32" t="n"/>
      <c r="G103" s="24">
        <f>E103+F103</f>
        <v/>
      </c>
      <c r="H103" s="23" t="n">
        <v>0</v>
      </c>
      <c r="I103" s="25">
        <f>G103-H103</f>
        <v/>
      </c>
      <c r="J103" s="26">
        <f>((H103*(20/100))+H103)-I103</f>
        <v/>
      </c>
      <c r="K103" s="26">
        <f>J103</f>
        <v/>
      </c>
      <c r="L103" s="33" t="n"/>
    </row>
    <row r="104" ht="15.75" customFormat="1" customHeight="1" s="2">
      <c r="B104" s="20" t="n">
        <v>95</v>
      </c>
      <c r="C104" s="30" t="inlineStr">
        <is>
          <t>Loratadin tablet 10 mg</t>
        </is>
      </c>
      <c r="D104" s="35" t="inlineStr">
        <is>
          <t>Tablet</t>
        </is>
      </c>
      <c r="E104" s="22" t="n">
        <v>0</v>
      </c>
      <c r="F104" s="32" t="n"/>
      <c r="G104" s="24">
        <f>E104+F104</f>
        <v/>
      </c>
      <c r="H104" s="23" t="n">
        <v>0</v>
      </c>
      <c r="I104" s="25">
        <f>G104-H104</f>
        <v/>
      </c>
      <c r="J104" s="26">
        <f>((H104*(20/100))+H104)-I104</f>
        <v/>
      </c>
      <c r="K104" s="26">
        <f>J104</f>
        <v/>
      </c>
      <c r="L104" s="33" t="n"/>
    </row>
    <row r="105" ht="15" customFormat="1" customHeight="1" s="34">
      <c r="B105" s="29" t="n">
        <v>96</v>
      </c>
      <c r="C105" s="30" t="inlineStr">
        <is>
          <t>Meloxicam 15 mg</t>
        </is>
      </c>
      <c r="D105" s="35" t="inlineStr">
        <is>
          <t>Tablet</t>
        </is>
      </c>
      <c r="E105" s="22" t="n">
        <v>0</v>
      </c>
      <c r="F105" s="32" t="n"/>
      <c r="G105" s="24">
        <f>E105+F105</f>
        <v/>
      </c>
      <c r="H105" s="23" t="n">
        <v>0</v>
      </c>
      <c r="I105" s="25">
        <f>G105-H105</f>
        <v/>
      </c>
      <c r="J105" s="26">
        <f>((H105*(20/100))+H105)-I105</f>
        <v/>
      </c>
      <c r="K105" s="26">
        <f>J105</f>
        <v/>
      </c>
      <c r="L105" s="33" t="n"/>
    </row>
    <row r="106" ht="15" customFormat="1" customHeight="1" s="2">
      <c r="B106" s="20" t="n">
        <v>97</v>
      </c>
      <c r="C106" s="30" t="inlineStr">
        <is>
          <t>Meloxicam 7,5 mg</t>
        </is>
      </c>
      <c r="D106" s="35" t="inlineStr">
        <is>
          <t>Tablet</t>
        </is>
      </c>
      <c r="E106" s="22" t="n">
        <v>0</v>
      </c>
      <c r="F106" s="32" t="n"/>
      <c r="G106" s="24">
        <f>E106+F106</f>
        <v/>
      </c>
      <c r="H106" s="23" t="n">
        <v>0</v>
      </c>
      <c r="I106" s="25">
        <f>G106-H106</f>
        <v/>
      </c>
      <c r="J106" s="26">
        <f>((H106*(20/100))+H106)-I106</f>
        <v/>
      </c>
      <c r="K106" s="26">
        <f>J106</f>
        <v/>
      </c>
      <c r="L106" s="33" t="n"/>
    </row>
    <row r="107" ht="15.75" customFormat="1" customHeight="1" s="2">
      <c r="B107" s="29" t="n">
        <v>98</v>
      </c>
      <c r="C107" s="30" t="inlineStr">
        <is>
          <t>Metampiron (Antalgin) tablet 500 mg</t>
        </is>
      </c>
      <c r="D107" s="35" t="inlineStr">
        <is>
          <t>Tablet</t>
        </is>
      </c>
      <c r="E107" s="22" t="n">
        <v>0</v>
      </c>
      <c r="F107" s="32" t="n"/>
      <c r="G107" s="24">
        <f>E107+F107</f>
        <v/>
      </c>
      <c r="H107" s="23" t="n">
        <v>0</v>
      </c>
      <c r="I107" s="25">
        <f>G107-H107</f>
        <v/>
      </c>
      <c r="J107" s="26">
        <f>((H107*(20/100))+H107)-I107</f>
        <v/>
      </c>
      <c r="K107" s="26">
        <f>J107</f>
        <v/>
      </c>
      <c r="L107" s="33" t="n"/>
    </row>
    <row r="108" ht="15.75" customFormat="1" customHeight="1" s="34">
      <c r="B108" s="20" t="n">
        <v>99</v>
      </c>
      <c r="C108" s="30" t="inlineStr">
        <is>
          <t>Metformin HCl tablet 500 mg</t>
        </is>
      </c>
      <c r="D108" s="35" t="inlineStr">
        <is>
          <t>Tablet</t>
        </is>
      </c>
      <c r="E108" s="22" t="n">
        <v>0</v>
      </c>
      <c r="F108" s="32" t="n"/>
      <c r="G108" s="24">
        <f>E108+F108</f>
        <v/>
      </c>
      <c r="H108" s="23" t="n">
        <v>0</v>
      </c>
      <c r="I108" s="25">
        <f>G108-H108</f>
        <v/>
      </c>
      <c r="J108" s="26">
        <f>((H108*(20/100))+H108)-I108</f>
        <v/>
      </c>
      <c r="K108" s="26">
        <f>J108</f>
        <v/>
      </c>
      <c r="L108" s="33" t="n"/>
    </row>
    <row r="109" ht="15" customFormat="1" customHeight="1" s="2">
      <c r="B109" s="29" t="n">
        <v>100</v>
      </c>
      <c r="C109" s="30" t="inlineStr">
        <is>
          <t xml:space="preserve">Metil Prednisolon </t>
        </is>
      </c>
      <c r="D109" s="35" t="inlineStr">
        <is>
          <t>Tablet</t>
        </is>
      </c>
      <c r="E109" s="22" t="n">
        <v>0</v>
      </c>
      <c r="F109" s="32" t="n"/>
      <c r="G109" s="24">
        <f>E109+F109</f>
        <v/>
      </c>
      <c r="H109" s="23" t="n">
        <v>0</v>
      </c>
      <c r="I109" s="25">
        <f>G109-H109</f>
        <v/>
      </c>
      <c r="J109" s="26">
        <f>((H109*(20/100))+H109)-I109</f>
        <v/>
      </c>
      <c r="K109" s="26">
        <f>J109</f>
        <v/>
      </c>
      <c r="L109" s="33" t="n"/>
    </row>
    <row r="110" ht="15" customFormat="1" customHeight="1" s="34">
      <c r="B110" s="20" t="n">
        <v>101</v>
      </c>
      <c r="C110" s="30" t="inlineStr">
        <is>
          <t>Metilergometrin Maleat  injeksi</t>
        </is>
      </c>
      <c r="D110" s="35" t="inlineStr">
        <is>
          <t>Ampul</t>
        </is>
      </c>
      <c r="E110" s="22" t="n">
        <v>0</v>
      </c>
      <c r="F110" s="32" t="n"/>
      <c r="G110" s="24">
        <f>E110+F110</f>
        <v/>
      </c>
      <c r="H110" s="23" t="n">
        <v>0</v>
      </c>
      <c r="I110" s="25">
        <f>G110-H110</f>
        <v/>
      </c>
      <c r="J110" s="26">
        <f>((H110*(20/100))+H110)-I110</f>
        <v/>
      </c>
      <c r="K110" s="26">
        <f>J110</f>
        <v/>
      </c>
      <c r="L110" s="33" t="n"/>
    </row>
    <row r="111" ht="30" customFormat="1" customHeight="1" s="2">
      <c r="B111" s="29" t="n">
        <v>102</v>
      </c>
      <c r="C111" s="30" t="inlineStr">
        <is>
          <t>Metilergometrin Maleat (Metilergometrin) tablet salut 0,125 mg</t>
        </is>
      </c>
      <c r="D111" s="35" t="inlineStr">
        <is>
          <t>Tablet</t>
        </is>
      </c>
      <c r="E111" s="22" t="n">
        <v>0</v>
      </c>
      <c r="F111" s="32" t="n"/>
      <c r="G111" s="24">
        <f>E111+F111</f>
        <v/>
      </c>
      <c r="H111" s="23" t="n">
        <v>0</v>
      </c>
      <c r="I111" s="25">
        <f>G111-H111</f>
        <v/>
      </c>
      <c r="J111" s="26">
        <f>((H111*(20/100))+H111)-I111</f>
        <v/>
      </c>
      <c r="K111" s="26">
        <f>J111</f>
        <v/>
      </c>
      <c r="L111" s="33" t="inlineStr">
        <is>
          <t>ED</t>
        </is>
      </c>
    </row>
    <row r="112" ht="15" customFormat="1" customHeight="1" s="2">
      <c r="B112" s="20" t="n">
        <v>103</v>
      </c>
      <c r="C112" s="30" t="inlineStr">
        <is>
          <t>Metoklorpramid / Metolon</t>
        </is>
      </c>
      <c r="D112" s="35" t="inlineStr">
        <is>
          <t>Tablet</t>
        </is>
      </c>
      <c r="E112" s="22" t="n">
        <v>0</v>
      </c>
      <c r="F112" s="32" t="n"/>
      <c r="G112" s="24">
        <f>E112+F112</f>
        <v/>
      </c>
      <c r="H112" s="23" t="n">
        <v>0</v>
      </c>
      <c r="I112" s="25">
        <f>G112-H112</f>
        <v/>
      </c>
      <c r="J112" s="26">
        <f>((H112*(20/100))+H112)-I112</f>
        <v/>
      </c>
      <c r="K112" s="26">
        <f>J112</f>
        <v/>
      </c>
      <c r="L112" s="33" t="n"/>
    </row>
    <row r="113" ht="15.75" customFormat="1" customHeight="1" s="2">
      <c r="B113" s="29" t="n">
        <v>104</v>
      </c>
      <c r="C113" s="30" t="inlineStr">
        <is>
          <t>Metronidazol tablet 500 mg/Metrox</t>
        </is>
      </c>
      <c r="D113" s="35" t="inlineStr">
        <is>
          <t>Tablet</t>
        </is>
      </c>
      <c r="E113" s="22" t="n">
        <v>0</v>
      </c>
      <c r="F113" s="32" t="n"/>
      <c r="G113" s="24">
        <f>E113+F113</f>
        <v/>
      </c>
      <c r="H113" s="23" t="n">
        <v>0</v>
      </c>
      <c r="I113" s="25">
        <f>G113-H113</f>
        <v/>
      </c>
      <c r="J113" s="26">
        <f>((H113*(20/100))+H113)-I113</f>
        <v/>
      </c>
      <c r="K113" s="26">
        <f>J113</f>
        <v/>
      </c>
      <c r="L113" s="33" t="n"/>
    </row>
    <row r="114" ht="15.75" customFormat="1" customHeight="1" s="2">
      <c r="B114" s="20" t="n">
        <v>105</v>
      </c>
      <c r="C114" s="30" t="inlineStr">
        <is>
          <t>Metronidazole Infus</t>
        </is>
      </c>
      <c r="D114" s="35" t="inlineStr">
        <is>
          <t>Botol</t>
        </is>
      </c>
      <c r="E114" s="22" t="n">
        <v>0</v>
      </c>
      <c r="F114" s="32" t="n"/>
      <c r="G114" s="24">
        <f>E114+F114</f>
        <v/>
      </c>
      <c r="H114" s="23" t="n">
        <v>0</v>
      </c>
      <c r="I114" s="25">
        <f>G114-H114</f>
        <v/>
      </c>
      <c r="J114" s="26">
        <f>((H114*(20/100))+H114)-I114</f>
        <v/>
      </c>
      <c r="K114" s="26">
        <f>J114</f>
        <v/>
      </c>
      <c r="L114" s="33" t="inlineStr">
        <is>
          <t>ED</t>
        </is>
      </c>
    </row>
    <row r="115" ht="15" customFormat="1" customHeight="1" s="2">
      <c r="B115" s="29" t="n">
        <v>106</v>
      </c>
      <c r="C115" s="30" t="inlineStr">
        <is>
          <t xml:space="preserve">Mikonazol krim/ salep 2 % (Nitrat) - 10 gr </t>
        </is>
      </c>
      <c r="D115" s="35" t="inlineStr">
        <is>
          <t>Tube</t>
        </is>
      </c>
      <c r="E115" s="22" t="n">
        <v>0</v>
      </c>
      <c r="F115" s="32" t="n"/>
      <c r="G115" s="24">
        <f>E115+F115</f>
        <v/>
      </c>
      <c r="H115" s="23" t="n">
        <v>0</v>
      </c>
      <c r="I115" s="25">
        <f>G115-H115</f>
        <v/>
      </c>
      <c r="J115" s="26">
        <f>((H115*(20/100))+H115)-I115</f>
        <v/>
      </c>
      <c r="K115" s="26">
        <f>J115</f>
        <v/>
      </c>
      <c r="L115" s="33" t="n"/>
    </row>
    <row r="116" ht="15" customFormat="1" customHeight="1" s="34">
      <c r="B116" s="20" t="n">
        <v>107</v>
      </c>
      <c r="C116" s="30" t="inlineStr">
        <is>
          <t xml:space="preserve">Natrium Diklofenak tablet 25 mg </t>
        </is>
      </c>
      <c r="D116" s="35" t="inlineStr">
        <is>
          <t>Tablet</t>
        </is>
      </c>
      <c r="E116" s="22" t="n">
        <v>0</v>
      </c>
      <c r="F116" s="32" t="n"/>
      <c r="G116" s="24">
        <f>E116+F116</f>
        <v/>
      </c>
      <c r="H116" s="23" t="n">
        <v>0</v>
      </c>
      <c r="I116" s="25">
        <f>G116-H116</f>
        <v/>
      </c>
      <c r="J116" s="26">
        <f>((H116*(20/100))+H116)-I116</f>
        <v/>
      </c>
      <c r="K116" s="26">
        <f>J116</f>
        <v/>
      </c>
      <c r="L116" s="33" t="n"/>
    </row>
    <row r="117" ht="15" customFormat="1" customHeight="1" s="2">
      <c r="B117" s="29" t="n">
        <v>108</v>
      </c>
      <c r="C117" s="30" t="inlineStr">
        <is>
          <t xml:space="preserve">Natrium Diklofenak tablet 50 mg </t>
        </is>
      </c>
      <c r="D117" s="35" t="inlineStr">
        <is>
          <t>Tablet</t>
        </is>
      </c>
      <c r="E117" s="22" t="n">
        <v>0</v>
      </c>
      <c r="F117" s="32" t="n"/>
      <c r="G117" s="24">
        <f>E117+F117</f>
        <v/>
      </c>
      <c r="H117" s="23" t="n">
        <v>0</v>
      </c>
      <c r="I117" s="25">
        <f>G117-H117</f>
        <v/>
      </c>
      <c r="J117" s="26">
        <f>((H117*(20/100))+H117)-I117</f>
        <v/>
      </c>
      <c r="K117" s="26">
        <f>J117</f>
        <v/>
      </c>
      <c r="L117" s="33" t="n"/>
    </row>
    <row r="118" ht="15" customFormat="1" customHeight="1" s="2">
      <c r="B118" s="20" t="n">
        <v>109</v>
      </c>
      <c r="C118" s="30" t="inlineStr">
        <is>
          <t xml:space="preserve">Natrium Klorida larutan infus 0,9% - 500 ml </t>
        </is>
      </c>
      <c r="D118" s="35" t="inlineStr">
        <is>
          <t>Kolf</t>
        </is>
      </c>
      <c r="E118" s="22" t="n">
        <v>0</v>
      </c>
      <c r="F118" s="32" t="n"/>
      <c r="G118" s="24">
        <f>E118+F118</f>
        <v/>
      </c>
      <c r="H118" s="23" t="n">
        <v>0</v>
      </c>
      <c r="I118" s="25">
        <f>G118-H118</f>
        <v/>
      </c>
      <c r="J118" s="26">
        <f>((H118*(20/100))+H118)-I118</f>
        <v/>
      </c>
      <c r="K118" s="26">
        <f>J118</f>
        <v/>
      </c>
      <c r="L118" s="33" t="n"/>
    </row>
    <row r="119" ht="15" customFormat="1" customHeight="1" s="2">
      <c r="B119" s="29" t="n">
        <v>110</v>
      </c>
      <c r="C119" s="30" t="inlineStr">
        <is>
          <t>Nifedipin tablet 10 mg</t>
        </is>
      </c>
      <c r="D119" s="35" t="inlineStr">
        <is>
          <t>Tablet</t>
        </is>
      </c>
      <c r="E119" s="22" t="n">
        <v>0</v>
      </c>
      <c r="F119" s="32" t="n"/>
      <c r="G119" s="24">
        <f>E119+F119</f>
        <v/>
      </c>
      <c r="H119" s="23" t="n">
        <v>0</v>
      </c>
      <c r="I119" s="25">
        <f>G119-H119</f>
        <v/>
      </c>
      <c r="J119" s="26">
        <f>((H119*(20/100))+H119)-I119</f>
        <v/>
      </c>
      <c r="K119" s="26">
        <f>J119</f>
        <v/>
      </c>
      <c r="L119" s="33" t="n"/>
    </row>
    <row r="120" ht="15" customFormat="1" customHeight="1" s="34">
      <c r="B120" s="20" t="n">
        <v>111</v>
      </c>
      <c r="C120" s="30" t="inlineStr">
        <is>
          <t>Nistatin tablet salut 500.000 IU/g</t>
        </is>
      </c>
      <c r="D120" s="35" t="inlineStr">
        <is>
          <t>Tablet</t>
        </is>
      </c>
      <c r="E120" s="22" t="n">
        <v>0</v>
      </c>
      <c r="F120" s="32" t="n"/>
      <c r="G120" s="24">
        <f>E120+F120</f>
        <v/>
      </c>
      <c r="H120" s="23" t="n">
        <v>0</v>
      </c>
      <c r="I120" s="25">
        <f>G120-H120</f>
        <v/>
      </c>
      <c r="J120" s="26">
        <f>((H120*(20/100))+H120)-I120</f>
        <v/>
      </c>
      <c r="K120" s="26">
        <f>J120</f>
        <v/>
      </c>
      <c r="L120" s="33" t="n"/>
    </row>
    <row r="121" ht="15" customFormat="1" customHeight="1" s="2">
      <c r="B121" s="29" t="n">
        <v>112</v>
      </c>
      <c r="C121" s="30" t="inlineStr">
        <is>
          <t>Nistatin vaginal tablet 100.000 IU/g</t>
        </is>
      </c>
      <c r="D121" s="35" t="inlineStr">
        <is>
          <t>Tablet</t>
        </is>
      </c>
      <c r="E121" s="22" t="n">
        <v>0</v>
      </c>
      <c r="F121" s="32" t="n"/>
      <c r="G121" s="24">
        <f>E121+F121</f>
        <v/>
      </c>
      <c r="H121" s="23" t="n">
        <v>0</v>
      </c>
      <c r="I121" s="25">
        <f>G121-H121</f>
        <v/>
      </c>
      <c r="J121" s="26">
        <f>((H121*(20/100))+H121)-I121</f>
        <v/>
      </c>
      <c r="K121" s="26">
        <f>J121</f>
        <v/>
      </c>
      <c r="L121" s="33" t="n"/>
    </row>
    <row r="122" ht="15" customFormat="1" customHeight="1" s="2">
      <c r="B122" s="20" t="n">
        <v>113</v>
      </c>
      <c r="C122" s="30" t="inlineStr">
        <is>
          <t>Nistatin  Drops</t>
        </is>
      </c>
      <c r="D122" s="35" t="inlineStr">
        <is>
          <t>Botol</t>
        </is>
      </c>
      <c r="E122" s="22" t="n">
        <v>0</v>
      </c>
      <c r="F122" s="32" t="n"/>
      <c r="G122" s="24">
        <f>E122+F122</f>
        <v/>
      </c>
      <c r="H122" s="23" t="n">
        <v>0</v>
      </c>
      <c r="I122" s="25">
        <f>G122-H122</f>
        <v/>
      </c>
      <c r="J122" s="26">
        <f>((H122*(20/100))+H122)-I122</f>
        <v/>
      </c>
      <c r="K122" s="26">
        <f>J122</f>
        <v/>
      </c>
      <c r="L122" s="33" t="n"/>
    </row>
    <row r="123" ht="15" customFormat="1" customHeight="1" s="34">
      <c r="B123" s="29" t="n">
        <v>114</v>
      </c>
      <c r="C123" s="30" t="inlineStr">
        <is>
          <t>Obat batuk Hitam (OBH) Cairan -100 ml non Alkohol</t>
        </is>
      </c>
      <c r="D123" s="35" t="inlineStr">
        <is>
          <t>Botol</t>
        </is>
      </c>
      <c r="E123" s="22" t="n">
        <v>0</v>
      </c>
      <c r="F123" s="32" t="n"/>
      <c r="G123" s="24">
        <f>E123+F123</f>
        <v/>
      </c>
      <c r="H123" s="23" t="n">
        <v>0</v>
      </c>
      <c r="I123" s="25">
        <f>G123-H123</f>
        <v/>
      </c>
      <c r="J123" s="26">
        <f>((H123*(20/100))+H123)-I123</f>
        <v/>
      </c>
      <c r="K123" s="26">
        <f>J123</f>
        <v/>
      </c>
      <c r="L123" s="33" t="inlineStr">
        <is>
          <t>ED</t>
        </is>
      </c>
    </row>
    <row r="124" ht="15" customFormat="1" customHeight="1" s="34">
      <c r="B124" s="20" t="n">
        <v>115</v>
      </c>
      <c r="C124" s="30" t="inlineStr">
        <is>
          <t>Ofloxacin tetes telinga</t>
        </is>
      </c>
      <c r="D124" s="35" t="inlineStr">
        <is>
          <t>Botol</t>
        </is>
      </c>
      <c r="E124" s="22" t="n">
        <v>0</v>
      </c>
      <c r="F124" s="32" t="n"/>
      <c r="G124" s="24">
        <f>E124+F124</f>
        <v/>
      </c>
      <c r="H124" s="23" t="n">
        <v>0</v>
      </c>
      <c r="I124" s="25">
        <f>G124-H124</f>
        <v/>
      </c>
      <c r="J124" s="26">
        <f>((H124*(20/100))+H124)-I124</f>
        <v/>
      </c>
      <c r="K124" s="26">
        <f>J124</f>
        <v/>
      </c>
      <c r="L124" s="33" t="n"/>
    </row>
    <row r="125" ht="15" customFormat="1" customHeight="1" s="34">
      <c r="B125" s="29" t="n">
        <v>116</v>
      </c>
      <c r="C125" s="30" t="inlineStr">
        <is>
          <t>Oksitetrasiklin HCl salep kulit 3 % - 5 gr</t>
        </is>
      </c>
      <c r="D125" s="35" t="inlineStr">
        <is>
          <t>Tube</t>
        </is>
      </c>
      <c r="E125" s="22" t="n">
        <v>0</v>
      </c>
      <c r="F125" s="32" t="n"/>
      <c r="G125" s="24">
        <f>E125+F125</f>
        <v/>
      </c>
      <c r="H125" s="23" t="n">
        <v>0</v>
      </c>
      <c r="I125" s="25">
        <f>G125-H125</f>
        <v/>
      </c>
      <c r="J125" s="26">
        <f>((H125*(20/100))+H125)-I125</f>
        <v/>
      </c>
      <c r="K125" s="26">
        <f>J125</f>
        <v/>
      </c>
      <c r="L125" s="33" t="n"/>
    </row>
    <row r="126" ht="15.75" customFormat="1" customHeight="1" s="34">
      <c r="B126" s="20" t="n">
        <v>117</v>
      </c>
      <c r="C126" s="30" t="inlineStr">
        <is>
          <t>Oksitetrasiklin HCl salep mata 1 % - 5 gr</t>
        </is>
      </c>
      <c r="D126" s="35" t="inlineStr">
        <is>
          <t>Tube</t>
        </is>
      </c>
      <c r="E126" s="22" t="n">
        <v>0</v>
      </c>
      <c r="F126" s="32" t="n"/>
      <c r="G126" s="24">
        <f>E126+F126</f>
        <v/>
      </c>
      <c r="H126" s="23" t="n">
        <v>0</v>
      </c>
      <c r="I126" s="25">
        <f>G126-H126</f>
        <v/>
      </c>
      <c r="J126" s="26">
        <f>((H126*(20/100))+H126)-I126</f>
        <v/>
      </c>
      <c r="K126" s="26">
        <f>J126</f>
        <v/>
      </c>
      <c r="L126" s="33" t="n"/>
    </row>
    <row r="127" ht="15" customFormat="1" customHeight="1" s="2">
      <c r="B127" s="29" t="n">
        <v>118</v>
      </c>
      <c r="C127" s="30" t="inlineStr">
        <is>
          <t>Oksitocin Injeksi</t>
        </is>
      </c>
      <c r="D127" s="35" t="inlineStr">
        <is>
          <t>Ampul</t>
        </is>
      </c>
      <c r="E127" s="22" t="n">
        <v>0</v>
      </c>
      <c r="F127" s="32" t="n"/>
      <c r="G127" s="24">
        <f>E127+F127</f>
        <v/>
      </c>
      <c r="H127" s="23" t="n">
        <v>0</v>
      </c>
      <c r="I127" s="25">
        <f>G127-H127</f>
        <v/>
      </c>
      <c r="J127" s="26">
        <f>((H127*(20/100))+H127)-I127</f>
        <v/>
      </c>
      <c r="K127" s="26">
        <f>J127</f>
        <v/>
      </c>
      <c r="L127" s="33" t="n"/>
    </row>
    <row r="128" ht="15" customFormat="1" customHeight="1" s="2">
      <c r="B128" s="20" t="n">
        <v>119</v>
      </c>
      <c r="C128" s="30" t="inlineStr">
        <is>
          <t xml:space="preserve">Omeprazole kapsul 20 mg </t>
        </is>
      </c>
      <c r="D128" s="35" t="inlineStr">
        <is>
          <t>Kapsul</t>
        </is>
      </c>
      <c r="E128" s="22" t="n">
        <v>0</v>
      </c>
      <c r="F128" s="32" t="n"/>
      <c r="G128" s="24">
        <f>E128+F128</f>
        <v/>
      </c>
      <c r="H128" s="23" t="n">
        <v>0</v>
      </c>
      <c r="I128" s="25">
        <f>G128-H128</f>
        <v/>
      </c>
      <c r="J128" s="26">
        <f>((H128*(20/100))+H128)-I128</f>
        <v/>
      </c>
      <c r="K128" s="26">
        <f>J128</f>
        <v/>
      </c>
      <c r="L128" s="33" t="n"/>
    </row>
    <row r="129" ht="15" customFormat="1" customHeight="1" s="34">
      <c r="B129" s="29" t="n">
        <v>120</v>
      </c>
      <c r="C129" s="30" t="inlineStr">
        <is>
          <t>Omeprazole Injeksi</t>
        </is>
      </c>
      <c r="D129" s="35" t="inlineStr">
        <is>
          <t>Ampul</t>
        </is>
      </c>
      <c r="E129" s="22" t="n">
        <v>0</v>
      </c>
      <c r="F129" s="32" t="n"/>
      <c r="G129" s="24">
        <f>E129+F129</f>
        <v/>
      </c>
      <c r="H129" s="23" t="n">
        <v>0</v>
      </c>
      <c r="I129" s="25">
        <f>G129-H129</f>
        <v/>
      </c>
      <c r="J129" s="26">
        <f>((H129*(20/100))+H129)-I129</f>
        <v/>
      </c>
      <c r="K129" s="26">
        <f>J129</f>
        <v/>
      </c>
      <c r="L129" s="33" t="n"/>
    </row>
    <row r="130" ht="15" customFormat="1" customHeight="1" s="2">
      <c r="B130" s="20" t="n">
        <v>121</v>
      </c>
      <c r="C130" s="30" t="inlineStr">
        <is>
          <t>Ondansetron/Kliran</t>
        </is>
      </c>
      <c r="D130" s="35" t="inlineStr">
        <is>
          <t>Ampul</t>
        </is>
      </c>
      <c r="E130" s="22" t="n">
        <v>0</v>
      </c>
      <c r="F130" s="32" t="n"/>
      <c r="G130" s="24">
        <f>E130+F130</f>
        <v/>
      </c>
      <c r="H130" s="23" t="n">
        <v>0</v>
      </c>
      <c r="I130" s="25">
        <f>G130-H130</f>
        <v/>
      </c>
      <c r="J130" s="26">
        <f>((H130*(20/100))+H130)-I130</f>
        <v/>
      </c>
      <c r="K130" s="26">
        <f>J130</f>
        <v/>
      </c>
      <c r="L130" s="33" t="n"/>
    </row>
    <row r="131" ht="15.75" customFormat="1" customHeight="1" s="34">
      <c r="B131" s="29" t="n">
        <v>122</v>
      </c>
      <c r="C131" s="30" t="inlineStr">
        <is>
          <t>Papaverin tablet 40 mg</t>
        </is>
      </c>
      <c r="D131" s="35" t="inlineStr">
        <is>
          <t>Tablet</t>
        </is>
      </c>
      <c r="E131" s="22" t="n">
        <v>0</v>
      </c>
      <c r="F131" s="32" t="n"/>
      <c r="G131" s="24">
        <f>E131+F131</f>
        <v/>
      </c>
      <c r="H131" s="23" t="n">
        <v>0</v>
      </c>
      <c r="I131" s="25">
        <f>G131-H131</f>
        <v/>
      </c>
      <c r="J131" s="26">
        <f>((H131*(20/100))+H131)-I131</f>
        <v/>
      </c>
      <c r="K131" s="26">
        <f>J131</f>
        <v/>
      </c>
      <c r="L131" s="33" t="n"/>
    </row>
    <row r="132" ht="15" customFormat="1" customHeight="1" s="2">
      <c r="B132" s="20" t="n">
        <v>123</v>
      </c>
      <c r="C132" s="37" t="inlineStr">
        <is>
          <t>Parasetamol drops 15 ml/Apetik</t>
        </is>
      </c>
      <c r="D132" s="35" t="inlineStr">
        <is>
          <t>Botol</t>
        </is>
      </c>
      <c r="E132" s="22" t="n">
        <v>0</v>
      </c>
      <c r="F132" s="32" t="n"/>
      <c r="G132" s="24">
        <f>E132+F132</f>
        <v/>
      </c>
      <c r="H132" s="23" t="n">
        <v>0</v>
      </c>
      <c r="I132" s="25">
        <f>G132-H132</f>
        <v/>
      </c>
      <c r="J132" s="26">
        <f>((H132*(20/100))+H132)-I132</f>
        <v/>
      </c>
      <c r="K132" s="26">
        <f>J132</f>
        <v/>
      </c>
      <c r="L132" s="33" t="inlineStr">
        <is>
          <t>ED</t>
        </is>
      </c>
    </row>
    <row r="133" ht="15.75" customFormat="1" customHeight="1" s="2">
      <c r="B133" s="29" t="n">
        <v>124</v>
      </c>
      <c r="C133" s="30" t="inlineStr">
        <is>
          <t xml:space="preserve">Parasetamol Infus </t>
        </is>
      </c>
      <c r="D133" s="35" t="inlineStr">
        <is>
          <t>Botol</t>
        </is>
      </c>
      <c r="E133" s="22" t="n">
        <v>0</v>
      </c>
      <c r="F133" s="32" t="n"/>
      <c r="G133" s="24">
        <f>E133+F133</f>
        <v/>
      </c>
      <c r="H133" s="23" t="n">
        <v>0</v>
      </c>
      <c r="I133" s="25">
        <f>G133-H133</f>
        <v/>
      </c>
      <c r="J133" s="26">
        <f>((H133*(20/100))+H133)-I133</f>
        <v/>
      </c>
      <c r="K133" s="26">
        <f>J133</f>
        <v/>
      </c>
      <c r="L133" s="33" t="n"/>
    </row>
    <row r="134" ht="15.75" customFormat="1" customHeight="1" s="2">
      <c r="B134" s="20" t="n">
        <v>125</v>
      </c>
      <c r="C134" s="30" t="inlineStr">
        <is>
          <t>Parasetamol sirup 120 mg / 5ml - 60 ml</t>
        </is>
      </c>
      <c r="D134" s="35" t="inlineStr">
        <is>
          <t>Botol</t>
        </is>
      </c>
      <c r="E134" s="22" t="n">
        <v>0</v>
      </c>
      <c r="F134" s="32" t="n"/>
      <c r="G134" s="24">
        <f>E134+F134</f>
        <v/>
      </c>
      <c r="H134" s="23" t="n">
        <v>0</v>
      </c>
      <c r="I134" s="25">
        <f>G134-H134</f>
        <v/>
      </c>
      <c r="J134" s="26">
        <f>((H134*(20/100))+H134)-I134</f>
        <v/>
      </c>
      <c r="K134" s="26">
        <f>J134</f>
        <v/>
      </c>
      <c r="L134" s="33" t="n"/>
    </row>
    <row r="135" ht="15" customFormat="1" customHeight="1" s="38">
      <c r="B135" s="29" t="n">
        <v>126</v>
      </c>
      <c r="C135" s="30" t="inlineStr">
        <is>
          <t>Parasetamol tablet  500 mg</t>
        </is>
      </c>
      <c r="D135" s="35" t="inlineStr">
        <is>
          <t>Tablet</t>
        </is>
      </c>
      <c r="E135" s="22" t="n">
        <v>0</v>
      </c>
      <c r="F135" s="32" t="n"/>
      <c r="G135" s="24">
        <f>E135+F135</f>
        <v/>
      </c>
      <c r="H135" s="23" t="n">
        <v>0</v>
      </c>
      <c r="I135" s="25">
        <f>G135-H135</f>
        <v/>
      </c>
      <c r="J135" s="26">
        <f>((H135*(20/100))+H135)-I135</f>
        <v/>
      </c>
      <c r="K135" s="26">
        <f>J135</f>
        <v/>
      </c>
      <c r="L135" s="33" t="n"/>
    </row>
    <row r="136" ht="15" customFormat="1" customHeight="1" s="2">
      <c r="B136" s="20" t="n">
        <v>127</v>
      </c>
      <c r="C136" s="37" t="inlineStr">
        <is>
          <t>Phenol Gliserol tetes telinga</t>
        </is>
      </c>
      <c r="D136" s="35" t="inlineStr">
        <is>
          <t>Botol</t>
        </is>
      </c>
      <c r="E136" s="22" t="n">
        <v>0</v>
      </c>
      <c r="F136" s="32" t="n"/>
      <c r="G136" s="24">
        <f>E136+F136</f>
        <v/>
      </c>
      <c r="H136" s="23" t="n">
        <v>0</v>
      </c>
      <c r="I136" s="25">
        <f>G136-H136</f>
        <v/>
      </c>
      <c r="J136" s="26">
        <f>((H136*(20/100))+H136)-I136</f>
        <v/>
      </c>
      <c r="K136" s="26">
        <f>J136</f>
        <v/>
      </c>
      <c r="L136" s="33" t="n"/>
    </row>
    <row r="137" ht="15" customFormat="1" customHeight="1" s="34">
      <c r="B137" s="29" t="n">
        <v>128</v>
      </c>
      <c r="C137" s="30" t="inlineStr">
        <is>
          <t>Piridoksin (Vitamin B6) tablet 10 mg (HCl)</t>
        </is>
      </c>
      <c r="D137" s="35" t="inlineStr">
        <is>
          <t>Tablet</t>
        </is>
      </c>
      <c r="E137" s="22" t="n">
        <v>0</v>
      </c>
      <c r="F137" s="32" t="n"/>
      <c r="G137" s="24">
        <f>E137+F137</f>
        <v/>
      </c>
      <c r="H137" s="23" t="n">
        <v>0</v>
      </c>
      <c r="I137" s="25">
        <f>G137-H137</f>
        <v/>
      </c>
      <c r="J137" s="26">
        <f>((H137*(20/100))+H137)-I137</f>
        <v/>
      </c>
      <c r="K137" s="26">
        <f>J137</f>
        <v/>
      </c>
      <c r="L137" s="33" t="n"/>
    </row>
    <row r="138" ht="15.75" customFormat="1" customHeight="1" s="34">
      <c r="B138" s="20" t="n">
        <v>129</v>
      </c>
      <c r="C138" s="41" t="inlineStr">
        <is>
          <t>Polikresulen (kondensasi) 10 ml / nistatin drop</t>
        </is>
      </c>
      <c r="D138" s="35" t="inlineStr">
        <is>
          <t>Botol</t>
        </is>
      </c>
      <c r="E138" s="22" t="n">
        <v>0</v>
      </c>
      <c r="F138" s="32" t="n"/>
      <c r="G138" s="24">
        <f>E138+F138</f>
        <v/>
      </c>
      <c r="H138" s="23" t="n">
        <v>0</v>
      </c>
      <c r="I138" s="25">
        <f>G138-H138</f>
        <v/>
      </c>
      <c r="J138" s="26">
        <f>((H138*(20/100))+H138)-I138</f>
        <v/>
      </c>
      <c r="K138" s="26">
        <f>J138</f>
        <v/>
      </c>
      <c r="L138" s="33" t="n"/>
    </row>
    <row r="139" ht="15" customFormat="1" customHeight="1" s="34">
      <c r="B139" s="29" t="n">
        <v>130</v>
      </c>
      <c r="C139" s="37" t="inlineStr">
        <is>
          <t>Povidon Iodida larutan 10 % - 1 L</t>
        </is>
      </c>
      <c r="D139" s="35" t="inlineStr">
        <is>
          <t>Botol</t>
        </is>
      </c>
      <c r="E139" s="22" t="n">
        <v>0</v>
      </c>
      <c r="F139" s="32" t="n"/>
      <c r="G139" s="24">
        <f>E139+F139</f>
        <v/>
      </c>
      <c r="H139" s="23" t="n">
        <v>0</v>
      </c>
      <c r="I139" s="25">
        <f>G139-H139</f>
        <v/>
      </c>
      <c r="J139" s="26">
        <f>((H139*(20/100))+H139)-I139</f>
        <v/>
      </c>
      <c r="K139" s="26">
        <f>J139</f>
        <v/>
      </c>
      <c r="L139" s="33" t="n"/>
    </row>
    <row r="140" ht="15" customFormat="1" customHeight="1" s="2">
      <c r="B140" s="20" t="n">
        <v>131</v>
      </c>
      <c r="C140" s="30" t="inlineStr">
        <is>
          <t>Povidon Iodida larutan 10 % - 300 ml</t>
        </is>
      </c>
      <c r="D140" s="35" t="inlineStr">
        <is>
          <t>Botol</t>
        </is>
      </c>
      <c r="E140" s="22" t="n">
        <v>0</v>
      </c>
      <c r="F140" s="32" t="n"/>
      <c r="G140" s="24">
        <f>E140+F140</f>
        <v/>
      </c>
      <c r="H140" s="23" t="n">
        <v>0</v>
      </c>
      <c r="I140" s="25">
        <f>G140-H140</f>
        <v/>
      </c>
      <c r="J140" s="26">
        <f>((H140*(20/100))+H140)-I140</f>
        <v/>
      </c>
      <c r="K140" s="26">
        <f>J140</f>
        <v/>
      </c>
      <c r="L140" s="33" t="n"/>
    </row>
    <row r="141" ht="15" customFormat="1" customHeight="1" s="2">
      <c r="B141" s="29" t="n">
        <v>132</v>
      </c>
      <c r="C141" s="30" t="inlineStr">
        <is>
          <t>Povidon Iodida larutan 60 Ml</t>
        </is>
      </c>
      <c r="D141" s="35" t="inlineStr">
        <is>
          <t>Botol</t>
        </is>
      </c>
      <c r="E141" s="22" t="n">
        <v>0</v>
      </c>
      <c r="F141" s="32" t="n"/>
      <c r="G141" s="24">
        <f>E141+F141</f>
        <v/>
      </c>
      <c r="H141" s="23" t="n">
        <v>0</v>
      </c>
      <c r="I141" s="25">
        <f>G141-H141</f>
        <v/>
      </c>
      <c r="J141" s="26">
        <f>((H141*(20/100))+H141)-I141</f>
        <v/>
      </c>
      <c r="K141" s="26">
        <f>J141</f>
        <v/>
      </c>
      <c r="L141" s="33" t="n"/>
    </row>
    <row r="142" ht="15" customFormat="1" customHeight="1" s="34">
      <c r="B142" s="20" t="n">
        <v>133</v>
      </c>
      <c r="C142" s="30" t="inlineStr">
        <is>
          <t>Prednison tablet 5 mg</t>
        </is>
      </c>
      <c r="D142" s="35" t="inlineStr">
        <is>
          <t>Tablet</t>
        </is>
      </c>
      <c r="E142" s="22" t="n">
        <v>0</v>
      </c>
      <c r="F142" s="32" t="n"/>
      <c r="G142" s="24">
        <f>E142+F142</f>
        <v/>
      </c>
      <c r="H142" s="23" t="n">
        <v>0</v>
      </c>
      <c r="I142" s="25">
        <f>G142-H142</f>
        <v/>
      </c>
      <c r="J142" s="26">
        <f>((H142*(20/100))+H142)-I142</f>
        <v/>
      </c>
      <c r="K142" s="26">
        <f>J142</f>
        <v/>
      </c>
      <c r="L142" s="33" t="n"/>
    </row>
    <row r="143" ht="15" customFormat="1" customHeight="1" s="2">
      <c r="B143" s="29" t="n">
        <v>134</v>
      </c>
      <c r="C143" s="30" t="inlineStr">
        <is>
          <t>Propanolol</t>
        </is>
      </c>
      <c r="D143" s="35" t="inlineStr">
        <is>
          <t>Tablet</t>
        </is>
      </c>
      <c r="E143" s="22" t="n">
        <v>0</v>
      </c>
      <c r="F143" s="32" t="n"/>
      <c r="G143" s="24">
        <f>E143+F143</f>
        <v/>
      </c>
      <c r="H143" s="23" t="n">
        <v>0</v>
      </c>
      <c r="I143" s="25">
        <f>G143-H143</f>
        <v/>
      </c>
      <c r="J143" s="26">
        <f>((H143*(20/100))+H143)-I143</f>
        <v/>
      </c>
      <c r="K143" s="26">
        <f>J143</f>
        <v/>
      </c>
      <c r="L143" s="33" t="n"/>
    </row>
    <row r="144" ht="15" customFormat="1" customHeight="1" s="2">
      <c r="B144" s="20" t="n">
        <v>135</v>
      </c>
      <c r="C144" s="30" t="inlineStr">
        <is>
          <t>Propiltiourasil tablet 100 mg</t>
        </is>
      </c>
      <c r="D144" s="35" t="inlineStr">
        <is>
          <t>Tablet</t>
        </is>
      </c>
      <c r="E144" s="22" t="n">
        <v>0</v>
      </c>
      <c r="F144" s="32" t="n"/>
      <c r="G144" s="24">
        <f>E144+F144</f>
        <v/>
      </c>
      <c r="H144" s="23" t="n">
        <v>0</v>
      </c>
      <c r="I144" s="25">
        <f>G144-H144</f>
        <v/>
      </c>
      <c r="J144" s="26">
        <f>((H144*(20/100))+H144)-I144</f>
        <v/>
      </c>
      <c r="K144" s="26">
        <f>J144</f>
        <v/>
      </c>
      <c r="L144" s="33" t="n"/>
    </row>
    <row r="145" ht="15" customFormat="1" customHeight="1" s="2">
      <c r="B145" s="29" t="n">
        <v>136</v>
      </c>
      <c r="C145" s="30" t="inlineStr">
        <is>
          <t>Ranitidin injeksi</t>
        </is>
      </c>
      <c r="D145" s="35" t="inlineStr">
        <is>
          <t>Ampul</t>
        </is>
      </c>
      <c r="E145" s="22" t="n">
        <v>0</v>
      </c>
      <c r="F145" s="32" t="n"/>
      <c r="G145" s="24">
        <f>E145+F145</f>
        <v/>
      </c>
      <c r="H145" s="23" t="n">
        <v>0</v>
      </c>
      <c r="I145" s="25">
        <f>G145-H145</f>
        <v/>
      </c>
      <c r="J145" s="26">
        <f>((H145*(20/100))+H145)-I145</f>
        <v/>
      </c>
      <c r="K145" s="26">
        <f>J145</f>
        <v/>
      </c>
      <c r="L145" s="33" t="n"/>
    </row>
    <row r="146" ht="15" customFormat="1" customHeight="1" s="2">
      <c r="B146" s="20" t="n">
        <v>137</v>
      </c>
      <c r="C146" s="30" t="inlineStr">
        <is>
          <t>Ranitidin tablet 150 mg</t>
        </is>
      </c>
      <c r="D146" s="35" t="inlineStr">
        <is>
          <t>Tablet</t>
        </is>
      </c>
      <c r="E146" s="22" t="n">
        <v>0</v>
      </c>
      <c r="F146" s="32" t="n"/>
      <c r="G146" s="24">
        <f>E146+F146</f>
        <v/>
      </c>
      <c r="H146" s="23" t="n">
        <v>0</v>
      </c>
      <c r="I146" s="25">
        <f>G146-H146</f>
        <v/>
      </c>
      <c r="J146" s="26">
        <f>((H146*(20/100))+H146)-I146</f>
        <v/>
      </c>
      <c r="K146" s="26">
        <f>J146</f>
        <v/>
      </c>
      <c r="L146" s="33" t="n"/>
    </row>
    <row r="147" ht="15" customFormat="1" customHeight="1" s="2">
      <c r="B147" s="29" t="n">
        <v>138</v>
      </c>
      <c r="C147" s="30" t="inlineStr">
        <is>
          <t>Ringer Laktat larutan infus - 500 ml</t>
        </is>
      </c>
      <c r="D147" s="35" t="inlineStr">
        <is>
          <t>Kolf</t>
        </is>
      </c>
      <c r="E147" s="22" t="n">
        <v>0</v>
      </c>
      <c r="F147" s="32" t="n"/>
      <c r="G147" s="24">
        <f>E147+F147</f>
        <v/>
      </c>
      <c r="H147" s="23" t="n">
        <v>0</v>
      </c>
      <c r="I147" s="25">
        <f>G147-H147</f>
        <v/>
      </c>
      <c r="J147" s="26">
        <f>((H147*(20/100))+H147)-I147</f>
        <v/>
      </c>
      <c r="K147" s="26">
        <f>J147</f>
        <v/>
      </c>
      <c r="L147" s="33" t="n"/>
    </row>
    <row r="148" ht="15.75" customFormat="1" customHeight="1" s="2">
      <c r="B148" s="20" t="n">
        <v>139</v>
      </c>
      <c r="C148" s="30" t="inlineStr">
        <is>
          <t>Salbutamol tablet 4 mg (sebagai sulfat)</t>
        </is>
      </c>
      <c r="D148" s="35" t="inlineStr">
        <is>
          <t>Tablet</t>
        </is>
      </c>
      <c r="E148" s="22" t="n">
        <v>0</v>
      </c>
      <c r="F148" s="32" t="n"/>
      <c r="G148" s="24">
        <f>E148+F148</f>
        <v/>
      </c>
      <c r="H148" s="23" t="n">
        <v>0</v>
      </c>
      <c r="I148" s="25">
        <f>G148-H148</f>
        <v/>
      </c>
      <c r="J148" s="26">
        <f>((H148*(20/100))+H148)-I148</f>
        <v/>
      </c>
      <c r="K148" s="26">
        <f>J148</f>
        <v/>
      </c>
      <c r="L148" s="33" t="n"/>
    </row>
    <row r="149" ht="15" customFormat="1" customHeight="1" s="34">
      <c r="B149" s="29" t="n">
        <v>140</v>
      </c>
      <c r="C149" s="30" t="inlineStr">
        <is>
          <t>Salbutamol tablet 2 mg</t>
        </is>
      </c>
      <c r="D149" s="35" t="inlineStr">
        <is>
          <t>Tablet</t>
        </is>
      </c>
      <c r="E149" s="22" t="n">
        <v>0</v>
      </c>
      <c r="F149" s="32" t="n"/>
      <c r="G149" s="24">
        <f>E149+F149</f>
        <v/>
      </c>
      <c r="H149" s="23" t="n">
        <v>0</v>
      </c>
      <c r="I149" s="25">
        <f>G149-H149</f>
        <v/>
      </c>
      <c r="J149" s="26">
        <f>((H149*(20/100))+H149)-I149</f>
        <v/>
      </c>
      <c r="K149" s="26">
        <f>J149</f>
        <v/>
      </c>
      <c r="L149" s="33" t="inlineStr">
        <is>
          <t>ED</t>
        </is>
      </c>
    </row>
    <row r="150" ht="15.75" customFormat="1" customHeight="1" s="2">
      <c r="B150" s="20" t="n">
        <v>141</v>
      </c>
      <c r="C150" s="30" t="inlineStr">
        <is>
          <t>Salep 2-4</t>
        </is>
      </c>
      <c r="D150" s="35" t="inlineStr">
        <is>
          <t>Pot</t>
        </is>
      </c>
      <c r="E150" s="22" t="n">
        <v>0</v>
      </c>
      <c r="F150" s="32" t="n"/>
      <c r="G150" s="24">
        <f>E150+F150</f>
        <v/>
      </c>
      <c r="H150" s="23" t="n">
        <v>0</v>
      </c>
      <c r="I150" s="25">
        <f>G150-H150</f>
        <v/>
      </c>
      <c r="J150" s="26">
        <f>((H150*(20/100))+H150)-I150</f>
        <v/>
      </c>
      <c r="K150" s="26">
        <f>J150</f>
        <v/>
      </c>
      <c r="L150" s="33" t="n"/>
    </row>
    <row r="151" ht="15" customFormat="1" customHeight="1" s="2">
      <c r="B151" s="29" t="n">
        <v>142</v>
      </c>
      <c r="C151" s="30" t="inlineStr">
        <is>
          <t>Salisil Bedak 2 % - 50 gr</t>
        </is>
      </c>
      <c r="D151" s="35" t="inlineStr">
        <is>
          <t>Pot</t>
        </is>
      </c>
      <c r="E151" s="22" t="n">
        <v>0</v>
      </c>
      <c r="F151" s="32" t="n"/>
      <c r="G151" s="24">
        <f>E151+F151</f>
        <v/>
      </c>
      <c r="H151" s="23" t="n">
        <v>0</v>
      </c>
      <c r="I151" s="25">
        <f>G151-H151</f>
        <v/>
      </c>
      <c r="J151" s="26">
        <f>((H151*(20/100))+H151)-I151</f>
        <v/>
      </c>
      <c r="K151" s="26">
        <f>J151</f>
        <v/>
      </c>
      <c r="L151" s="33" t="n"/>
    </row>
    <row r="152" ht="21" customFormat="1" customHeight="1" s="2">
      <c r="B152" s="20" t="n">
        <v>143</v>
      </c>
      <c r="C152" s="30" t="inlineStr">
        <is>
          <t>Sefadroksil Kapsul 500 mg</t>
        </is>
      </c>
      <c r="D152" s="31" t="inlineStr">
        <is>
          <t>Kapsul</t>
        </is>
      </c>
      <c r="E152" s="22" t="n">
        <v>0</v>
      </c>
      <c r="F152" s="32" t="n"/>
      <c r="G152" s="24">
        <f>E152+F152</f>
        <v/>
      </c>
      <c r="H152" s="23" t="n">
        <v>0</v>
      </c>
      <c r="I152" s="25">
        <f>G152-H152</f>
        <v/>
      </c>
      <c r="J152" s="26">
        <f>((H152*(20/100))+H152)-I152</f>
        <v/>
      </c>
      <c r="K152" s="26">
        <f>J152</f>
        <v/>
      </c>
      <c r="L152" s="33" t="n"/>
    </row>
    <row r="153" ht="15" customFormat="1" customHeight="1" s="34">
      <c r="B153" s="29" t="n">
        <v>144</v>
      </c>
      <c r="C153" s="37" t="inlineStr">
        <is>
          <t>Sefadroxil sirup 125 MG / WADOXIL</t>
        </is>
      </c>
      <c r="D153" s="35" t="inlineStr">
        <is>
          <t>Botol</t>
        </is>
      </c>
      <c r="E153" s="22" t="n">
        <v>0</v>
      </c>
      <c r="F153" s="32" t="n"/>
      <c r="G153" s="24">
        <f>E153+F153</f>
        <v/>
      </c>
      <c r="H153" s="23" t="n">
        <v>0</v>
      </c>
      <c r="I153" s="25">
        <f>G153-H153</f>
        <v/>
      </c>
      <c r="J153" s="26">
        <f>((H153*(20/100))+H153)-I153</f>
        <v/>
      </c>
      <c r="K153" s="26">
        <f>J153</f>
        <v/>
      </c>
      <c r="L153" s="33" t="n"/>
    </row>
    <row r="154" ht="27" customFormat="1" customHeight="1" s="2">
      <c r="B154" s="20" t="n">
        <v>145</v>
      </c>
      <c r="C154" s="30" t="inlineStr">
        <is>
          <t>Sefadroxil sirup 250 MG</t>
        </is>
      </c>
      <c r="D154" s="35" t="inlineStr">
        <is>
          <t>Botol</t>
        </is>
      </c>
      <c r="E154" s="22" t="n">
        <v>0</v>
      </c>
      <c r="F154" s="32" t="n"/>
      <c r="G154" s="24">
        <f>E154+F154</f>
        <v/>
      </c>
      <c r="H154" s="23" t="n">
        <v>0</v>
      </c>
      <c r="I154" s="25">
        <f>G154-H154</f>
        <v/>
      </c>
      <c r="J154" s="26">
        <f>((H154*(20/100))+H154)-I154</f>
        <v/>
      </c>
      <c r="K154" s="26">
        <f>J154</f>
        <v/>
      </c>
      <c r="L154" s="33" t="n"/>
    </row>
    <row r="155" ht="15" customFormat="1" customHeight="1" s="2">
      <c r="B155" s="29" t="n">
        <v>146</v>
      </c>
      <c r="C155" s="30" t="inlineStr">
        <is>
          <t>Sianokobalamin (vitamin B12) tablet 50 mcg</t>
        </is>
      </c>
      <c r="D155" s="35" t="inlineStr">
        <is>
          <t>Tablet</t>
        </is>
      </c>
      <c r="E155" s="22" t="n">
        <v>0</v>
      </c>
      <c r="F155" s="32" t="n"/>
      <c r="G155" s="24">
        <f>E155+F155</f>
        <v/>
      </c>
      <c r="H155" s="23" t="n">
        <v>0</v>
      </c>
      <c r="I155" s="25">
        <f>G155-H155</f>
        <v/>
      </c>
      <c r="J155" s="26">
        <f>((H155*(20/100))+H155)-I155</f>
        <v/>
      </c>
      <c r="K155" s="26">
        <f>J155</f>
        <v/>
      </c>
      <c r="L155" s="33" t="n"/>
    </row>
    <row r="156" ht="15" customFormat="1" customHeight="1" s="2">
      <c r="B156" s="20" t="n">
        <v>147</v>
      </c>
      <c r="C156" s="30" t="inlineStr">
        <is>
          <t>Simvastatin tablet 10 mg</t>
        </is>
      </c>
      <c r="D156" s="35" t="inlineStr">
        <is>
          <t>Tablet</t>
        </is>
      </c>
      <c r="E156" s="22" t="n">
        <v>0</v>
      </c>
      <c r="F156" s="32" t="n"/>
      <c r="G156" s="24">
        <f>E156+F156</f>
        <v/>
      </c>
      <c r="H156" s="23" t="n">
        <v>0</v>
      </c>
      <c r="I156" s="25">
        <f>G156-H156</f>
        <v/>
      </c>
      <c r="J156" s="26">
        <f>((H156*(20/100))+H156)-I156</f>
        <v/>
      </c>
      <c r="K156" s="26">
        <f>J156</f>
        <v/>
      </c>
      <c r="L156" s="33" t="n"/>
    </row>
    <row r="157" ht="15" customFormat="1" customHeight="1" s="34">
      <c r="B157" s="29" t="n">
        <v>148</v>
      </c>
      <c r="C157" s="30" t="inlineStr">
        <is>
          <t>Simvastatin tablet 20 mg</t>
        </is>
      </c>
      <c r="D157" s="35" t="inlineStr">
        <is>
          <t>Tablet</t>
        </is>
      </c>
      <c r="E157" s="22" t="n">
        <v>0</v>
      </c>
      <c r="F157" s="32" t="n"/>
      <c r="G157" s="24">
        <f>E157+F157</f>
        <v/>
      </c>
      <c r="H157" s="23" t="n">
        <v>0</v>
      </c>
      <c r="I157" s="25">
        <f>G157-H157</f>
        <v/>
      </c>
      <c r="J157" s="26">
        <f>((H157*(20/100))+H157)-I157</f>
        <v/>
      </c>
      <c r="K157" s="26">
        <f>J157</f>
        <v/>
      </c>
      <c r="L157" s="33" t="n"/>
    </row>
    <row r="158" ht="15" customFormat="1" customHeight="1" s="2">
      <c r="B158" s="20" t="n">
        <v>149</v>
      </c>
      <c r="C158" s="30" t="inlineStr">
        <is>
          <t xml:space="preserve">Siprofloksasin tablet 500 mg (sebagai HCl) </t>
        </is>
      </c>
      <c r="D158" s="35" t="inlineStr">
        <is>
          <t>Tablet</t>
        </is>
      </c>
      <c r="E158" s="22" t="n">
        <v>0</v>
      </c>
      <c r="F158" s="32" t="n"/>
      <c r="G158" s="24">
        <f>E158+F158</f>
        <v/>
      </c>
      <c r="H158" s="23" t="n">
        <v>0</v>
      </c>
      <c r="I158" s="25">
        <f>G158-H158</f>
        <v/>
      </c>
      <c r="J158" s="26">
        <f>((H158*(20/100))+H158)-I158</f>
        <v/>
      </c>
      <c r="K158" s="26">
        <f>J158</f>
        <v/>
      </c>
      <c r="L158" s="33" t="inlineStr">
        <is>
          <t>ED</t>
        </is>
      </c>
    </row>
    <row r="159" ht="15" customFormat="1" customHeight="1" s="2">
      <c r="B159" s="29" t="n">
        <v>150</v>
      </c>
      <c r="C159" s="30" t="inlineStr">
        <is>
          <t>Sukralfat</t>
        </is>
      </c>
      <c r="D159" s="35" t="inlineStr">
        <is>
          <t>Botol</t>
        </is>
      </c>
      <c r="E159" s="22" t="n">
        <v>0</v>
      </c>
      <c r="F159" s="32" t="n"/>
      <c r="G159" s="24">
        <f>E159+F159</f>
        <v/>
      </c>
      <c r="H159" s="23" t="n">
        <v>0</v>
      </c>
      <c r="I159" s="25">
        <f>G159-H159</f>
        <v/>
      </c>
      <c r="J159" s="26">
        <f>((H159*(20/100))+H159)-I159</f>
        <v/>
      </c>
      <c r="K159" s="26">
        <f>J159</f>
        <v/>
      </c>
      <c r="L159" s="33" t="n"/>
    </row>
    <row r="160" ht="15" customFormat="1" customHeight="1" s="2">
      <c r="B160" s="20" t="n">
        <v>151</v>
      </c>
      <c r="C160" s="30" t="inlineStr">
        <is>
          <t>Sulfasetamida Natrium  tetes mata 15 % - 5 ml</t>
        </is>
      </c>
      <c r="D160" s="35" t="inlineStr">
        <is>
          <t>Botol</t>
        </is>
      </c>
      <c r="E160" s="22" t="n">
        <v>0</v>
      </c>
      <c r="F160" s="32" t="n"/>
      <c r="G160" s="24">
        <f>E160+F160</f>
        <v/>
      </c>
      <c r="H160" s="23" t="n">
        <v>0</v>
      </c>
      <c r="I160" s="25">
        <f>G160-H160</f>
        <v/>
      </c>
      <c r="J160" s="26">
        <f>((H160*(20/100))+H160)-I160</f>
        <v/>
      </c>
      <c r="K160" s="26">
        <f>J160</f>
        <v/>
      </c>
      <c r="L160" s="33" t="n"/>
    </row>
    <row r="161" ht="15" customFormat="1" customHeight="1" s="34">
      <c r="B161" s="29" t="n">
        <v>152</v>
      </c>
      <c r="C161" s="30" t="inlineStr">
        <is>
          <t>Tetrasiklin Kapsul 250 mg</t>
        </is>
      </c>
      <c r="D161" s="35" t="inlineStr">
        <is>
          <t>Kapsul</t>
        </is>
      </c>
      <c r="E161" s="22" t="n">
        <v>0</v>
      </c>
      <c r="F161" s="32" t="n"/>
      <c r="G161" s="24">
        <f>E161+F161</f>
        <v/>
      </c>
      <c r="H161" s="23" t="n">
        <v>0</v>
      </c>
      <c r="I161" s="25">
        <f>G161-H161</f>
        <v/>
      </c>
      <c r="J161" s="26">
        <f>((H161*(20/100))+H161)-I161</f>
        <v/>
      </c>
      <c r="K161" s="26">
        <f>J161</f>
        <v/>
      </c>
      <c r="L161" s="33" t="n"/>
    </row>
    <row r="162" ht="15" customFormat="1" customHeight="1" s="2">
      <c r="B162" s="20" t="n">
        <v>153</v>
      </c>
      <c r="C162" s="30" t="inlineStr">
        <is>
          <t>Tetrasiklin kapsul 500 mg</t>
        </is>
      </c>
      <c r="D162" s="35" t="inlineStr">
        <is>
          <t>Kapsul</t>
        </is>
      </c>
      <c r="E162" s="22" t="n">
        <v>0</v>
      </c>
      <c r="F162" s="32" t="n"/>
      <c r="G162" s="24">
        <f>E162+F162</f>
        <v/>
      </c>
      <c r="H162" s="23" t="n">
        <v>0</v>
      </c>
      <c r="I162" s="25">
        <f>G162-H162</f>
        <v/>
      </c>
      <c r="J162" s="26">
        <f>((H162*(20/100))+H162)-I162</f>
        <v/>
      </c>
      <c r="K162" s="26">
        <f>J162</f>
        <v/>
      </c>
      <c r="L162" s="33" t="n"/>
    </row>
    <row r="163" ht="15" customFormat="1" customHeight="1" s="34">
      <c r="B163" s="29" t="n">
        <v>154</v>
      </c>
      <c r="C163" s="30" t="inlineStr">
        <is>
          <t>Tiamin (Vitamin B1) tablet 50 mg (HCl/ Nitrat)</t>
        </is>
      </c>
      <c r="D163" s="35" t="inlineStr">
        <is>
          <t>Tablet</t>
        </is>
      </c>
      <c r="E163" s="22" t="n">
        <v>0</v>
      </c>
      <c r="F163" s="32" t="n"/>
      <c r="G163" s="24">
        <f>E163+F163</f>
        <v/>
      </c>
      <c r="H163" s="23" t="n">
        <v>0</v>
      </c>
      <c r="I163" s="25">
        <f>G163-H163</f>
        <v/>
      </c>
      <c r="J163" s="26">
        <f>((H163*(20/100))+H163)-I163</f>
        <v/>
      </c>
      <c r="K163" s="26">
        <f>J163</f>
        <v/>
      </c>
      <c r="L163" s="33" t="n"/>
    </row>
    <row r="164" ht="15" customFormat="1" customHeight="1" s="2">
      <c r="B164" s="20" t="n">
        <v>155</v>
      </c>
      <c r="C164" s="30" t="inlineStr">
        <is>
          <t>Vitamin B Kompleks tablet</t>
        </is>
      </c>
      <c r="D164" s="35" t="inlineStr">
        <is>
          <t>Tablet</t>
        </is>
      </c>
      <c r="E164" s="22" t="n">
        <v>0</v>
      </c>
      <c r="F164" s="32" t="n"/>
      <c r="G164" s="24">
        <f>E164+F164</f>
        <v/>
      </c>
      <c r="H164" s="23" t="n">
        <v>0</v>
      </c>
      <c r="I164" s="25">
        <f>G164-H164</f>
        <v/>
      </c>
      <c r="J164" s="26">
        <f>((H164*(20/100))+H164)-I164</f>
        <v/>
      </c>
      <c r="K164" s="26">
        <f>J164</f>
        <v/>
      </c>
      <c r="L164" s="33" t="n"/>
    </row>
    <row r="165" ht="15.75" customFormat="1" customHeight="1" s="2">
      <c r="B165" s="29" t="n">
        <v>156</v>
      </c>
      <c r="C165" s="30" t="inlineStr">
        <is>
          <t>Zinc tablet 20 mg</t>
        </is>
      </c>
      <c r="D165" s="35" t="inlineStr">
        <is>
          <t>Tablet</t>
        </is>
      </c>
      <c r="E165" s="22" t="n">
        <v>0</v>
      </c>
      <c r="F165" s="32" t="n"/>
      <c r="G165" s="24">
        <f>E165+F165</f>
        <v/>
      </c>
      <c r="H165" s="23" t="n">
        <v>0</v>
      </c>
      <c r="I165" s="25">
        <f>G165-H165</f>
        <v/>
      </c>
      <c r="J165" s="26">
        <f>((H165*(20/100))+H165)-I165</f>
        <v/>
      </c>
      <c r="K165" s="26">
        <f>J165</f>
        <v/>
      </c>
      <c r="L165" s="33" t="n"/>
    </row>
    <row r="166" ht="15" customFormat="1" customHeight="1" s="2">
      <c r="B166" s="20" t="n">
        <v>157</v>
      </c>
      <c r="C166" s="30" t="inlineStr">
        <is>
          <t>Zinc sirup</t>
        </is>
      </c>
      <c r="D166" s="35" t="inlineStr">
        <is>
          <t>Botol</t>
        </is>
      </c>
      <c r="E166" s="22" t="n">
        <v>0</v>
      </c>
      <c r="F166" s="32" t="n"/>
      <c r="G166" s="24">
        <f>E166+F166</f>
        <v/>
      </c>
      <c r="H166" s="23" t="n">
        <v>0</v>
      </c>
      <c r="I166" s="25">
        <f>G166-H166</f>
        <v/>
      </c>
      <c r="J166" s="26">
        <f>((H166*(20/100))+H166)-I166</f>
        <v/>
      </c>
      <c r="K166" s="26">
        <f>J166</f>
        <v/>
      </c>
      <c r="L166" s="33" t="n"/>
    </row>
    <row r="167" ht="15" customFormat="1" customHeight="1" s="2">
      <c r="B167" s="29" t="n"/>
      <c r="C167" s="42" t="n"/>
      <c r="D167" s="43" t="n"/>
      <c r="E167" s="22" t="n">
        <v>0</v>
      </c>
      <c r="F167" s="32" t="n"/>
      <c r="G167" s="44" t="n"/>
      <c r="H167" s="23" t="n">
        <v>0</v>
      </c>
      <c r="I167" s="25">
        <f>G167-H167</f>
        <v/>
      </c>
      <c r="J167" s="35" t="n"/>
      <c r="K167" s="35" t="n"/>
      <c r="L167" s="33" t="n"/>
    </row>
    <row r="168" ht="15" customFormat="1" customHeight="1" s="34">
      <c r="B168" s="45" t="n"/>
      <c r="C168" s="46" t="inlineStr">
        <is>
          <t>OBAT PROGRAM P2M</t>
        </is>
      </c>
      <c r="D168" s="47" t="n"/>
      <c r="E168" s="22" t="n">
        <v>0</v>
      </c>
      <c r="F168" s="48" t="n"/>
      <c r="G168" s="49" t="n"/>
      <c r="H168" s="23" t="n">
        <v>0</v>
      </c>
      <c r="I168" s="25">
        <f>G168-H168</f>
        <v/>
      </c>
      <c r="J168" s="49" t="n"/>
      <c r="K168" s="49" t="n"/>
      <c r="L168" s="50" t="n"/>
    </row>
    <row r="169" ht="15" customFormat="1" customHeight="1" s="2">
      <c r="B169" s="29" t="n">
        <v>158</v>
      </c>
      <c r="C169" s="30" t="inlineStr">
        <is>
          <t>DHP-Prmal</t>
        </is>
      </c>
      <c r="D169" s="35" t="inlineStr">
        <is>
          <t>Tablet</t>
        </is>
      </c>
      <c r="E169" s="22" t="n">
        <v>0</v>
      </c>
      <c r="F169" s="32" t="n"/>
      <c r="G169" s="24">
        <f>E169+F169</f>
        <v/>
      </c>
      <c r="H169" s="23" t="n">
        <v>0</v>
      </c>
      <c r="I169" s="25">
        <f>G169-H169</f>
        <v/>
      </c>
      <c r="J169" s="26">
        <f>((H169*(20/100))+H169)-I169</f>
        <v/>
      </c>
      <c r="K169" s="26">
        <f>J169</f>
        <v/>
      </c>
      <c r="L169" s="33" t="n"/>
    </row>
    <row r="170" ht="15" customFormat="1" customHeight="1" s="34">
      <c r="B170" s="29" t="n">
        <v>163</v>
      </c>
      <c r="C170" s="30" t="inlineStr">
        <is>
          <t>Primaquin</t>
        </is>
      </c>
      <c r="D170" s="51" t="inlineStr">
        <is>
          <t>Pcs</t>
        </is>
      </c>
      <c r="E170" s="22" t="n">
        <v>0</v>
      </c>
      <c r="F170" s="32" t="n"/>
      <c r="G170" s="24">
        <f>E170+F170</f>
        <v/>
      </c>
      <c r="H170" s="23" t="n">
        <v>0</v>
      </c>
      <c r="I170" s="25">
        <f>G170-H170</f>
        <v/>
      </c>
      <c r="J170" s="26">
        <f>((H170*(20/100))+H170)-I170</f>
        <v/>
      </c>
      <c r="K170" s="26">
        <f>J170</f>
        <v/>
      </c>
      <c r="L170" s="33" t="n"/>
    </row>
    <row r="171" ht="15.75" customFormat="1" customHeight="1" s="2">
      <c r="B171" s="29" t="n">
        <v>164</v>
      </c>
      <c r="C171" s="30" t="inlineStr">
        <is>
          <t>RDT Malaria</t>
        </is>
      </c>
      <c r="D171" s="51" t="inlineStr">
        <is>
          <t>Pcs</t>
        </is>
      </c>
      <c r="E171" s="22" t="n">
        <v>0</v>
      </c>
      <c r="F171" s="32" t="n"/>
      <c r="G171" s="24">
        <f>E171+F171</f>
        <v/>
      </c>
      <c r="H171" s="23" t="n">
        <v>0</v>
      </c>
      <c r="I171" s="25">
        <f>G171-H171</f>
        <v/>
      </c>
      <c r="J171" s="26">
        <f>((H171*(20/100))+H171)-I171</f>
        <v/>
      </c>
      <c r="K171" s="26">
        <f>J171</f>
        <v/>
      </c>
      <c r="L171" s="33" t="n"/>
    </row>
    <row r="172" ht="15.75" customFormat="1" customHeight="1" s="2">
      <c r="B172" s="29" t="n"/>
      <c r="C172" s="42" t="n"/>
      <c r="D172" s="43" t="n"/>
      <c r="E172" s="22" t="n">
        <v>0</v>
      </c>
      <c r="F172" s="32" t="n"/>
      <c r="G172" s="44" t="n"/>
      <c r="H172" s="23" t="n">
        <v>0</v>
      </c>
      <c r="I172" s="25">
        <f>G172-H172</f>
        <v/>
      </c>
      <c r="J172" s="35" t="n"/>
      <c r="K172" s="35" t="n"/>
      <c r="L172" s="33" t="n"/>
    </row>
    <row r="173" ht="15.75" customFormat="1" customHeight="1" s="34">
      <c r="B173" s="45" t="n"/>
      <c r="C173" s="46" t="inlineStr">
        <is>
          <t>OBAT PROGRAM TB PARU</t>
        </is>
      </c>
      <c r="D173" s="52" t="n"/>
      <c r="E173" s="22" t="n">
        <v>0</v>
      </c>
      <c r="F173" s="53" t="n"/>
      <c r="G173" s="54" t="n"/>
      <c r="H173" s="23" t="n">
        <v>0</v>
      </c>
      <c r="I173" s="25">
        <f>G173-H173</f>
        <v/>
      </c>
      <c r="J173" s="54" t="n"/>
      <c r="K173" s="54" t="n"/>
      <c r="L173" s="55" t="n"/>
    </row>
    <row r="174" ht="15" customFormat="1" customHeight="1" s="2">
      <c r="B174" s="29" t="n">
        <v>161</v>
      </c>
      <c r="C174" s="30" t="inlineStr">
        <is>
          <t>Obat FDC  Kategori 1</t>
        </is>
      </c>
      <c r="D174" s="35" t="inlineStr">
        <is>
          <t>Paket</t>
        </is>
      </c>
      <c r="E174" s="22" t="n">
        <v>0</v>
      </c>
      <c r="F174" s="32" t="n"/>
      <c r="G174" s="24">
        <f>E174+F174</f>
        <v/>
      </c>
      <c r="H174" s="23" t="n">
        <v>0</v>
      </c>
      <c r="I174" s="25">
        <f>G174-H174</f>
        <v/>
      </c>
      <c r="J174" s="26">
        <f>((H174*(20/100))+H174)-I174</f>
        <v/>
      </c>
      <c r="K174" s="26">
        <f>J174</f>
        <v/>
      </c>
      <c r="L174" s="33" t="n"/>
    </row>
    <row r="175" ht="15.75" customFormat="1" customHeight="1" s="2">
      <c r="B175" s="29" t="n">
        <v>162</v>
      </c>
      <c r="C175" s="30" t="inlineStr">
        <is>
          <t>Obat FDC  Kategori 2</t>
        </is>
      </c>
      <c r="D175" s="31" t="inlineStr">
        <is>
          <t>Paket</t>
        </is>
      </c>
      <c r="E175" s="22" t="n">
        <v>0</v>
      </c>
      <c r="F175" s="32" t="n"/>
      <c r="G175" s="24">
        <f>E175+F175</f>
        <v/>
      </c>
      <c r="H175" s="23" t="n">
        <v>0</v>
      </c>
      <c r="I175" s="25">
        <f>G175-H175</f>
        <v/>
      </c>
      <c r="J175" s="26">
        <f>((H175*(20/100))+H175)-I175</f>
        <v/>
      </c>
      <c r="K175" s="26">
        <f>J175</f>
        <v/>
      </c>
      <c r="L175" s="33" t="n"/>
    </row>
    <row r="176" ht="15" customFormat="1" customHeight="1" s="34">
      <c r="B176" s="29" t="n">
        <v>163</v>
      </c>
      <c r="C176" s="30" t="inlineStr">
        <is>
          <t>Obat FDC Anak</t>
        </is>
      </c>
      <c r="D176" s="31" t="inlineStr">
        <is>
          <t>Paket</t>
        </is>
      </c>
      <c r="E176" s="22" t="n">
        <v>0</v>
      </c>
      <c r="F176" s="32" t="n"/>
      <c r="G176" s="24">
        <f>E176+F176</f>
        <v/>
      </c>
      <c r="H176" s="23" t="n">
        <v>0</v>
      </c>
      <c r="I176" s="25">
        <f>G176-H176</f>
        <v/>
      </c>
      <c r="J176" s="26">
        <f>((H176*(20/100))+H176)-I176</f>
        <v/>
      </c>
      <c r="K176" s="26">
        <f>J176</f>
        <v/>
      </c>
      <c r="L176" s="33" t="n"/>
    </row>
    <row r="177" ht="15" customFormat="1" customHeight="1" s="2">
      <c r="B177" s="29" t="n">
        <v>164</v>
      </c>
      <c r="C177" s="30" t="inlineStr">
        <is>
          <t>Obat FDC Sisipan (MDR)</t>
        </is>
      </c>
      <c r="D177" s="31" t="inlineStr">
        <is>
          <t>Paket</t>
        </is>
      </c>
      <c r="E177" s="22" t="n">
        <v>0</v>
      </c>
      <c r="F177" s="32" t="n"/>
      <c r="G177" s="24">
        <f>E177+F177</f>
        <v/>
      </c>
      <c r="H177" s="23" t="n">
        <v>0</v>
      </c>
      <c r="I177" s="25">
        <f>G177-H177</f>
        <v/>
      </c>
      <c r="J177" s="26">
        <f>((H177*(20/100))+H177)-I177</f>
        <v/>
      </c>
      <c r="K177" s="26">
        <f>J177</f>
        <v/>
      </c>
      <c r="L177" s="33" t="n"/>
    </row>
    <row r="178" ht="15" customFormat="1" customHeight="1" s="2">
      <c r="B178" s="29" t="n"/>
      <c r="C178" s="42" t="n"/>
      <c r="D178" s="43" t="n"/>
      <c r="E178" s="22" t="n">
        <v>0</v>
      </c>
      <c r="F178" s="32" t="n"/>
      <c r="G178" s="44" t="n"/>
      <c r="H178" s="23" t="n">
        <v>0</v>
      </c>
      <c r="I178" s="25">
        <f>G178-H178</f>
        <v/>
      </c>
      <c r="J178" s="35" t="n"/>
      <c r="K178" s="35" t="n"/>
      <c r="L178" s="33" t="n"/>
    </row>
    <row r="179" ht="15.75" customFormat="1" customHeight="1" s="34">
      <c r="B179" s="45" t="n"/>
      <c r="C179" s="46" t="inlineStr">
        <is>
          <t>OBAT PROGRAM KECACINGAN</t>
        </is>
      </c>
      <c r="D179" s="52" t="n"/>
      <c r="E179" s="22" t="n">
        <v>0</v>
      </c>
      <c r="F179" s="53" t="n"/>
      <c r="G179" s="54" t="n"/>
      <c r="H179" s="23" t="n">
        <v>0</v>
      </c>
      <c r="I179" s="25">
        <f>G179-H179</f>
        <v/>
      </c>
      <c r="J179" s="54" t="n"/>
      <c r="K179" s="54" t="n"/>
      <c r="L179" s="55" t="n"/>
    </row>
    <row r="180" ht="15.75" customFormat="1" customHeight="1" s="2">
      <c r="B180" s="29" t="n">
        <v>165</v>
      </c>
      <c r="C180" s="30" t="inlineStr">
        <is>
          <t>Albendazole tablet 400 mg</t>
        </is>
      </c>
      <c r="D180" s="39" t="inlineStr">
        <is>
          <t>Tablet</t>
        </is>
      </c>
      <c r="E180" s="22" t="n">
        <v>0</v>
      </c>
      <c r="F180" s="32" t="n"/>
      <c r="G180" s="24">
        <f>E180+F180</f>
        <v/>
      </c>
      <c r="H180" s="23" t="n">
        <v>0</v>
      </c>
      <c r="I180" s="25">
        <f>G180-H180</f>
        <v/>
      </c>
      <c r="J180" s="26">
        <f>((H180*(20/100))+H180)-I180</f>
        <v/>
      </c>
      <c r="K180" s="26">
        <f>J180</f>
        <v/>
      </c>
      <c r="L180" s="33" t="n"/>
    </row>
    <row r="181" ht="15.75" customFormat="1" customHeight="1" s="40">
      <c r="B181" s="29" t="n">
        <v>166</v>
      </c>
      <c r="C181" s="30" t="inlineStr">
        <is>
          <t>Pirantel tablet score (base) 125 mg</t>
        </is>
      </c>
      <c r="D181" s="39" t="inlineStr">
        <is>
          <t>Tablet</t>
        </is>
      </c>
      <c r="E181" s="22" t="n">
        <v>0</v>
      </c>
      <c r="F181" s="32" t="n"/>
      <c r="G181" s="24">
        <f>E181+F181</f>
        <v/>
      </c>
      <c r="H181" s="23" t="n">
        <v>0</v>
      </c>
      <c r="I181" s="25">
        <f>G181-H181</f>
        <v/>
      </c>
      <c r="J181" s="26">
        <f>((H181*(20/100))+H181)-I181</f>
        <v/>
      </c>
      <c r="K181" s="26">
        <f>J181</f>
        <v/>
      </c>
      <c r="L181" s="33" t="inlineStr">
        <is>
          <t>ED</t>
        </is>
      </c>
    </row>
    <row r="182" ht="15.75" customFormat="1" customHeight="1" s="2">
      <c r="B182" s="29" t="n">
        <v>167</v>
      </c>
      <c r="C182" s="30" t="inlineStr">
        <is>
          <t>Pirantel  Syrup</t>
        </is>
      </c>
      <c r="D182" s="39" t="inlineStr">
        <is>
          <t>Botol</t>
        </is>
      </c>
      <c r="E182" s="22" t="n">
        <v>0</v>
      </c>
      <c r="F182" s="32" t="n"/>
      <c r="G182" s="24">
        <f>E182+F182</f>
        <v/>
      </c>
      <c r="H182" s="23" t="n">
        <v>0</v>
      </c>
      <c r="I182" s="25">
        <f>G182-H182</f>
        <v/>
      </c>
      <c r="J182" s="26">
        <f>((H182*(20/100))+H182)-I182</f>
        <v/>
      </c>
      <c r="K182" s="26">
        <f>J182</f>
        <v/>
      </c>
      <c r="L182" s="33" t="n"/>
    </row>
    <row r="183" ht="15.75" customFormat="1" customHeight="1" s="34">
      <c r="B183" s="29" t="n"/>
      <c r="C183" s="42" t="n"/>
      <c r="D183" s="43" t="n"/>
      <c r="E183" s="22" t="n">
        <v>0</v>
      </c>
      <c r="F183" s="32" t="n"/>
      <c r="G183" s="44" t="n"/>
      <c r="H183" s="23" t="n">
        <v>0</v>
      </c>
      <c r="I183" s="25">
        <f>G183-H183</f>
        <v/>
      </c>
      <c r="J183" s="35" t="n"/>
      <c r="K183" s="35" t="n"/>
      <c r="L183" s="33" t="n"/>
    </row>
    <row r="184" ht="15" customFormat="1" customHeight="1" s="34">
      <c r="B184" s="45" t="n"/>
      <c r="C184" s="46" t="inlineStr">
        <is>
          <t>OBAT PROGRAM GIZI</t>
        </is>
      </c>
      <c r="D184" s="52" t="n"/>
      <c r="E184" s="22" t="n">
        <v>0</v>
      </c>
      <c r="F184" s="53" t="n"/>
      <c r="G184" s="54" t="n"/>
      <c r="H184" s="23" t="n">
        <v>0</v>
      </c>
      <c r="I184" s="25">
        <f>G184-H184</f>
        <v/>
      </c>
      <c r="J184" s="54" t="n"/>
      <c r="K184" s="54" t="n"/>
      <c r="L184" s="55" t="n"/>
    </row>
    <row r="185" ht="15" customFormat="1" customHeight="1" s="34">
      <c r="B185" s="29" t="n">
        <v>168</v>
      </c>
      <c r="C185" s="30" t="inlineStr">
        <is>
          <t>Retinol (Vitamin A) 100.000 IU kapsul lunak</t>
        </is>
      </c>
      <c r="D185" s="39" t="inlineStr">
        <is>
          <t>Kapsul</t>
        </is>
      </c>
      <c r="E185" s="22" t="n">
        <v>0</v>
      </c>
      <c r="F185" s="32" t="n"/>
      <c r="G185" s="24">
        <f>E185+F185</f>
        <v/>
      </c>
      <c r="H185" s="23" t="n">
        <v>0</v>
      </c>
      <c r="I185" s="25">
        <f>G185-H185</f>
        <v/>
      </c>
      <c r="J185" s="26">
        <f>((H185*(20/100))+H185)-I185</f>
        <v/>
      </c>
      <c r="K185" s="26">
        <f>J185</f>
        <v/>
      </c>
      <c r="L185" s="33" t="n"/>
    </row>
    <row r="186" ht="15" customFormat="1" customHeight="1" s="40">
      <c r="B186" s="29" t="n">
        <v>169</v>
      </c>
      <c r="C186" s="30" t="inlineStr">
        <is>
          <t>Retinol (Vitamin A) 200.000 IU kapsul lunak</t>
        </is>
      </c>
      <c r="D186" s="39" t="inlineStr">
        <is>
          <t>Kapsul</t>
        </is>
      </c>
      <c r="E186" s="22" t="n">
        <v>0</v>
      </c>
      <c r="F186" s="32" t="n"/>
      <c r="G186" s="24">
        <f>E186+F186</f>
        <v/>
      </c>
      <c r="H186" s="23" t="n">
        <v>0</v>
      </c>
      <c r="I186" s="25">
        <f>G186-H186</f>
        <v/>
      </c>
      <c r="J186" s="26">
        <f>((H186*(20/100))+H186)-I186</f>
        <v/>
      </c>
      <c r="K186" s="26">
        <f>J186</f>
        <v/>
      </c>
      <c r="L186" s="33" t="n"/>
    </row>
    <row r="187" ht="30" customFormat="1" customHeight="1" s="40">
      <c r="B187" s="29" t="n"/>
      <c r="C187" s="37" t="inlineStr">
        <is>
          <t>Besi II Sulfat 200 mg + Asam Folat 0,25 mg (tablet tambah darah kombinasi)</t>
        </is>
      </c>
      <c r="D187" s="35" t="inlineStr">
        <is>
          <t>Tablet</t>
        </is>
      </c>
      <c r="E187" s="22" t="n">
        <v>0</v>
      </c>
      <c r="F187" s="32" t="n"/>
      <c r="G187" s="24" t="n"/>
      <c r="H187" s="23" t="n">
        <v>0</v>
      </c>
      <c r="I187" s="25">
        <f>G187-H187</f>
        <v/>
      </c>
      <c r="J187" s="26" t="n"/>
      <c r="K187" s="26" t="n"/>
      <c r="L187" s="33" t="n"/>
    </row>
    <row r="188" ht="15" customFormat="1" customHeight="1" s="40">
      <c r="B188" s="45" t="n"/>
      <c r="C188" s="46" t="inlineStr">
        <is>
          <t>OBAT KEJIWAAN</t>
        </is>
      </c>
      <c r="D188" s="52" t="n"/>
      <c r="E188" s="22" t="n">
        <v>0</v>
      </c>
      <c r="F188" s="53" t="n"/>
      <c r="G188" s="54" t="n"/>
      <c r="H188" s="23" t="n">
        <v>0</v>
      </c>
      <c r="I188" s="25">
        <f>G188-H188</f>
        <v/>
      </c>
      <c r="J188" s="54" t="n"/>
      <c r="K188" s="54" t="n"/>
      <c r="L188" s="55" t="n"/>
    </row>
    <row r="189" ht="15.75" customFormat="1" customHeight="1" s="34">
      <c r="B189" s="29" t="n">
        <v>171</v>
      </c>
      <c r="C189" s="30" t="inlineStr">
        <is>
          <t>Amitriptilin 25 mg</t>
        </is>
      </c>
      <c r="D189" s="51" t="inlineStr">
        <is>
          <t>Tablet</t>
        </is>
      </c>
      <c r="E189" s="22" t="n">
        <v>0</v>
      </c>
      <c r="F189" s="32" t="n"/>
      <c r="G189" s="24">
        <f>E189+F189</f>
        <v/>
      </c>
      <c r="H189" s="23" t="n">
        <v>0</v>
      </c>
      <c r="I189" s="25">
        <f>G189-H189</f>
        <v/>
      </c>
      <c r="J189" s="26">
        <f>((H189*(20/100))+H189)-I189</f>
        <v/>
      </c>
      <c r="K189" s="26">
        <f>J189</f>
        <v/>
      </c>
      <c r="L189" s="33" t="n"/>
    </row>
    <row r="190" ht="15" customFormat="1" customHeight="1" s="40">
      <c r="B190" s="29" t="n">
        <v>172</v>
      </c>
      <c r="C190" s="30" t="inlineStr">
        <is>
          <t>Diazepam tablet 2 mg</t>
        </is>
      </c>
      <c r="D190" s="51" t="inlineStr">
        <is>
          <t>Tablet</t>
        </is>
      </c>
      <c r="E190" s="22" t="n">
        <v>0</v>
      </c>
      <c r="F190" s="32" t="n"/>
      <c r="G190" s="24">
        <f>E190+F190</f>
        <v/>
      </c>
      <c r="H190" s="23" t="n">
        <v>0</v>
      </c>
      <c r="I190" s="25">
        <f>G190-H190</f>
        <v/>
      </c>
      <c r="J190" s="26">
        <f>((H190*(20/100))+H190)-I190</f>
        <v/>
      </c>
      <c r="K190" s="26">
        <f>J190</f>
        <v/>
      </c>
      <c r="L190" s="33" t="n"/>
    </row>
    <row r="191" ht="15" customFormat="1" customHeight="1" s="40">
      <c r="B191" s="29" t="n">
        <v>173</v>
      </c>
      <c r="C191" s="30" t="inlineStr">
        <is>
          <t>Diazepam tablet 5 mg</t>
        </is>
      </c>
      <c r="D191" s="51" t="inlineStr">
        <is>
          <t>Tablet</t>
        </is>
      </c>
      <c r="E191" s="22" t="n">
        <v>0</v>
      </c>
      <c r="F191" s="32" t="n"/>
      <c r="G191" s="24">
        <f>E191+F191</f>
        <v/>
      </c>
      <c r="H191" s="23" t="n">
        <v>0</v>
      </c>
      <c r="I191" s="25">
        <f>G191-H191</f>
        <v/>
      </c>
      <c r="J191" s="26">
        <f>((H191*(20/100))+H191)-I191</f>
        <v/>
      </c>
      <c r="K191" s="26">
        <f>J191</f>
        <v/>
      </c>
      <c r="L191" s="33" t="n"/>
    </row>
    <row r="192" ht="15" customFormat="1" customHeight="1" s="34">
      <c r="B192" s="29" t="n">
        <v>174</v>
      </c>
      <c r="C192" s="30" t="inlineStr">
        <is>
          <t>Diazepam tube Rectal 5 mg/ml / STESOLID</t>
        </is>
      </c>
      <c r="D192" s="51" t="inlineStr">
        <is>
          <t>Tube rectal</t>
        </is>
      </c>
      <c r="E192" s="22" t="n">
        <v>0</v>
      </c>
      <c r="F192" s="32" t="n"/>
      <c r="G192" s="24">
        <f>E192+F192</f>
        <v/>
      </c>
      <c r="H192" s="23" t="n">
        <v>0</v>
      </c>
      <c r="I192" s="25">
        <f>G192-H192</f>
        <v/>
      </c>
      <c r="J192" s="26">
        <f>((H192*(20/100))+H192)-I192</f>
        <v/>
      </c>
      <c r="K192" s="26">
        <f>J192</f>
        <v/>
      </c>
      <c r="L192" s="33" t="n"/>
    </row>
    <row r="193" ht="15.75" customFormat="1" customHeight="1" s="40">
      <c r="B193" s="29" t="n">
        <v>175</v>
      </c>
      <c r="C193" s="30" t="inlineStr">
        <is>
          <t>haloperidol 0.5 mg</t>
        </is>
      </c>
      <c r="D193" s="51" t="inlineStr">
        <is>
          <t>Tablet</t>
        </is>
      </c>
      <c r="E193" s="22" t="n">
        <v>0</v>
      </c>
      <c r="F193" s="32" t="n"/>
      <c r="G193" s="24">
        <f>E193+F193</f>
        <v/>
      </c>
      <c r="H193" s="23" t="n">
        <v>0</v>
      </c>
      <c r="I193" s="25">
        <f>G193-H193</f>
        <v/>
      </c>
      <c r="J193" s="26">
        <f>((H193*(20/100))+H193)-I193</f>
        <v/>
      </c>
      <c r="K193" s="26">
        <f>J193</f>
        <v/>
      </c>
      <c r="L193" s="33" t="n"/>
    </row>
    <row r="194" ht="15" customFormat="1" customHeight="1" s="40">
      <c r="B194" s="29" t="n">
        <v>176</v>
      </c>
      <c r="C194" s="30" t="inlineStr">
        <is>
          <t>haloperidol 1.5 mg</t>
        </is>
      </c>
      <c r="D194" s="51" t="inlineStr">
        <is>
          <t>Tablet</t>
        </is>
      </c>
      <c r="E194" s="22" t="n">
        <v>0</v>
      </c>
      <c r="F194" s="32" t="n"/>
      <c r="G194" s="24">
        <f>E194+F194</f>
        <v/>
      </c>
      <c r="H194" s="23" t="n">
        <v>0</v>
      </c>
      <c r="I194" s="25">
        <f>G194-H194</f>
        <v/>
      </c>
      <c r="J194" s="26">
        <f>((H194*(20/100))+H194)-I194</f>
        <v/>
      </c>
      <c r="K194" s="26">
        <f>J194</f>
        <v/>
      </c>
      <c r="L194" s="33" t="n"/>
    </row>
    <row r="195" ht="15.75" customFormat="1" customHeight="1" s="34">
      <c r="B195" s="29" t="n">
        <v>177</v>
      </c>
      <c r="C195" s="30" t="inlineStr">
        <is>
          <t>haloperidol 5 mg</t>
        </is>
      </c>
      <c r="D195" s="51" t="inlineStr">
        <is>
          <t>Tablet</t>
        </is>
      </c>
      <c r="E195" s="22" t="n">
        <v>0</v>
      </c>
      <c r="F195" s="32" t="n"/>
      <c r="G195" s="24">
        <f>E195+F195</f>
        <v/>
      </c>
      <c r="H195" s="23" t="n">
        <v>0</v>
      </c>
      <c r="I195" s="25">
        <f>G195-H195</f>
        <v/>
      </c>
      <c r="J195" s="26">
        <f>((H195*(20/100))+H195)-I195</f>
        <v/>
      </c>
      <c r="K195" s="26">
        <f>J195</f>
        <v/>
      </c>
      <c r="L195" s="33" t="n"/>
    </row>
    <row r="196" ht="15" customFormat="1" customHeight="1" s="34">
      <c r="B196" s="29" t="n">
        <v>178</v>
      </c>
      <c r="C196" s="30" t="inlineStr">
        <is>
          <t>Phenobarbital 30 mg</t>
        </is>
      </c>
      <c r="D196" s="51" t="inlineStr">
        <is>
          <t>Tablet</t>
        </is>
      </c>
      <c r="E196" s="22" t="n">
        <v>0</v>
      </c>
      <c r="F196" s="32" t="n"/>
      <c r="G196" s="24">
        <f>E196+F196</f>
        <v/>
      </c>
      <c r="H196" s="23" t="n">
        <v>0</v>
      </c>
      <c r="I196" s="25">
        <f>G196-H196</f>
        <v/>
      </c>
      <c r="J196" s="26">
        <f>((H196*(20/100))+H196)-I196</f>
        <v/>
      </c>
      <c r="K196" s="26">
        <f>J196</f>
        <v/>
      </c>
      <c r="L196" s="33" t="n"/>
    </row>
    <row r="197" ht="15" customFormat="1" customHeight="1" s="34">
      <c r="B197" s="29" t="n">
        <v>179</v>
      </c>
      <c r="C197" s="56" t="inlineStr">
        <is>
          <t>Risperidon</t>
        </is>
      </c>
      <c r="D197" s="57" t="inlineStr">
        <is>
          <t>Tablet</t>
        </is>
      </c>
      <c r="E197" s="22" t="n">
        <v>0</v>
      </c>
      <c r="F197" s="58" t="n"/>
      <c r="G197" s="59">
        <f>E197+F197</f>
        <v/>
      </c>
      <c r="H197" s="23" t="n">
        <v>0</v>
      </c>
      <c r="I197" s="25">
        <f>G197-H197</f>
        <v/>
      </c>
      <c r="J197" s="60">
        <f>((H197*(20/100))+H197)-I197</f>
        <v/>
      </c>
      <c r="K197" s="60">
        <f>J197</f>
        <v/>
      </c>
      <c r="L197" s="61" t="n"/>
    </row>
    <row r="198" ht="15" customFormat="1" customHeight="1" s="40">
      <c r="B198" s="29" t="n">
        <v>180</v>
      </c>
      <c r="C198" s="56" t="inlineStr">
        <is>
          <t>Trihexapenidil</t>
        </is>
      </c>
      <c r="D198" s="62" t="inlineStr">
        <is>
          <t>Tablet</t>
        </is>
      </c>
      <c r="E198" s="22" t="n">
        <v>0</v>
      </c>
      <c r="F198" s="63" t="n"/>
      <c r="G198" s="64">
        <f>E198+F198</f>
        <v/>
      </c>
      <c r="H198" s="23" t="n">
        <v>0</v>
      </c>
      <c r="I198" s="25">
        <f>G198-H198</f>
        <v/>
      </c>
      <c r="J198" s="60">
        <f>((H198*(20/100))+H198)-I198</f>
        <v/>
      </c>
      <c r="K198" s="60">
        <f>J198</f>
        <v/>
      </c>
      <c r="L198" s="65" t="n"/>
    </row>
    <row r="199" ht="15.75" customFormat="1" customHeight="1" s="40">
      <c r="B199" s="66" t="n"/>
      <c r="C199" s="67" t="inlineStr">
        <is>
          <t xml:space="preserve">OBAT GIGI </t>
        </is>
      </c>
      <c r="D199" s="68" t="n"/>
      <c r="E199" s="22" t="n">
        <v>0</v>
      </c>
      <c r="F199" s="69" t="n"/>
      <c r="G199" s="70" t="n"/>
      <c r="H199" s="23" t="n">
        <v>0</v>
      </c>
      <c r="I199" s="25">
        <f>G199-H199</f>
        <v/>
      </c>
      <c r="J199" s="70" t="n"/>
      <c r="K199" s="70" t="n"/>
      <c r="L199" s="71" t="n"/>
    </row>
    <row r="200" ht="15.75" customFormat="1" customHeight="1" s="40">
      <c r="B200" s="72" t="n">
        <v>181</v>
      </c>
      <c r="C200" s="30" t="inlineStr">
        <is>
          <t>CHKM</t>
        </is>
      </c>
      <c r="D200" s="73" t="inlineStr">
        <is>
          <t>Botol</t>
        </is>
      </c>
      <c r="E200" s="22" t="n">
        <v>0</v>
      </c>
      <c r="F200" s="58" t="n"/>
      <c r="G200" s="24">
        <f>E200+F200</f>
        <v/>
      </c>
      <c r="H200" s="23" t="n">
        <v>0</v>
      </c>
      <c r="I200" s="25">
        <f>G200-H200</f>
        <v/>
      </c>
      <c r="J200" s="26">
        <f>((H200*(20/100))+H200)-I200</f>
        <v/>
      </c>
      <c r="K200" s="26">
        <f>J200</f>
        <v/>
      </c>
      <c r="L200" s="61" t="n"/>
    </row>
    <row r="201" ht="15" customFormat="1" customHeight="1" s="36">
      <c r="B201" s="72" t="n">
        <v>182</v>
      </c>
      <c r="C201" s="74" t="inlineStr">
        <is>
          <t>Devitalisasi Pasta (Non Arsen)</t>
        </is>
      </c>
      <c r="D201" s="35" t="inlineStr">
        <is>
          <t>Btl / ktk</t>
        </is>
      </c>
      <c r="E201" s="22" t="n">
        <v>0</v>
      </c>
      <c r="F201" s="58" t="n"/>
      <c r="G201" s="24">
        <f>E201+F201</f>
        <v/>
      </c>
      <c r="H201" s="23" t="n">
        <v>0</v>
      </c>
      <c r="I201" s="25">
        <f>G201-H201</f>
        <v/>
      </c>
      <c r="J201" s="26">
        <f>((H201*(20/100))+H201)-I201</f>
        <v/>
      </c>
      <c r="K201" s="26">
        <f>J201</f>
        <v/>
      </c>
      <c r="L201" s="61" t="n"/>
    </row>
    <row r="202" ht="31.5" customFormat="1" customHeight="1" s="36">
      <c r="B202" s="72" t="n">
        <v>183</v>
      </c>
      <c r="C202" s="74" t="inlineStr">
        <is>
          <t>Denpro Calplus</t>
        </is>
      </c>
      <c r="D202" s="35" t="inlineStr">
        <is>
          <t>Btl / ktk</t>
        </is>
      </c>
      <c r="E202" s="22" t="n">
        <v>0</v>
      </c>
      <c r="F202" s="58" t="n"/>
      <c r="G202" s="24">
        <f>E202+F202</f>
        <v/>
      </c>
      <c r="H202" s="23" t="n">
        <v>0</v>
      </c>
      <c r="I202" s="25">
        <f>G202-H202</f>
        <v/>
      </c>
      <c r="J202" s="26">
        <f>((H202*(20/100))+H202)-I202</f>
        <v/>
      </c>
      <c r="K202" s="26">
        <f>J202</f>
        <v/>
      </c>
      <c r="L202" s="61" t="n"/>
    </row>
    <row r="203" ht="30" customFormat="1" customHeight="1" s="36">
      <c r="B203" s="72" t="n">
        <v>184</v>
      </c>
      <c r="C203" s="30" t="inlineStr">
        <is>
          <t>Etil Chlorida spray - 100 ml / Lidokain spray/Xylocain</t>
        </is>
      </c>
      <c r="D203" s="35" t="inlineStr">
        <is>
          <t xml:space="preserve">Botol </t>
        </is>
      </c>
      <c r="E203" s="22" t="n">
        <v>0</v>
      </c>
      <c r="F203" s="58" t="n"/>
      <c r="G203" s="24">
        <f>E203+F203</f>
        <v/>
      </c>
      <c r="H203" s="23" t="n">
        <v>0</v>
      </c>
      <c r="I203" s="25">
        <f>G203-H203</f>
        <v/>
      </c>
      <c r="J203" s="26">
        <f>((H203*(20/100))+H203)-I203</f>
        <v/>
      </c>
      <c r="K203" s="26">
        <f>J203</f>
        <v/>
      </c>
      <c r="L203" s="61" t="n"/>
    </row>
    <row r="204" ht="15.75" customFormat="1" customHeight="1" s="36">
      <c r="B204" s="72" t="n">
        <v>185</v>
      </c>
      <c r="C204" s="30" t="inlineStr">
        <is>
          <t>Eugenol cairan - 15 ml</t>
        </is>
      </c>
      <c r="D204" s="35" t="inlineStr">
        <is>
          <t>Botol</t>
        </is>
      </c>
      <c r="E204" s="22" t="n">
        <v>0</v>
      </c>
      <c r="F204" s="58" t="n"/>
      <c r="G204" s="24">
        <f>E204+F204</f>
        <v/>
      </c>
      <c r="H204" s="23" t="n">
        <v>0</v>
      </c>
      <c r="I204" s="25">
        <f>G204-H204</f>
        <v/>
      </c>
      <c r="J204" s="26">
        <f>((H204*(20/100))+H204)-I204</f>
        <v/>
      </c>
      <c r="K204" s="26">
        <f>J204</f>
        <v/>
      </c>
      <c r="L204" s="61" t="n"/>
    </row>
    <row r="205" ht="15" customFormat="1" customHeight="1" s="36">
      <c r="B205" s="72" t="n">
        <v>186</v>
      </c>
      <c r="C205" s="30" t="inlineStr">
        <is>
          <t>Frutti Fluor Gel</t>
        </is>
      </c>
      <c r="D205" s="35" t="inlineStr">
        <is>
          <t>Botol</t>
        </is>
      </c>
      <c r="E205" s="22" t="n">
        <v>0</v>
      </c>
      <c r="F205" s="58" t="n"/>
      <c r="G205" s="24">
        <f>E205+F205</f>
        <v/>
      </c>
      <c r="H205" s="23" t="n">
        <v>0</v>
      </c>
      <c r="I205" s="25">
        <f>G205-H205</f>
        <v/>
      </c>
      <c r="J205" s="26">
        <f>((H205*(20/100))+H205)-I205</f>
        <v/>
      </c>
      <c r="K205" s="26">
        <f>J205</f>
        <v/>
      </c>
      <c r="L205" s="61" t="n"/>
    </row>
    <row r="206" ht="15" customFormat="1" customHeight="1" s="36">
      <c r="B206" s="72" t="n">
        <v>187</v>
      </c>
      <c r="C206" s="74" t="inlineStr">
        <is>
          <t>Glass Ionomer Cement ART (GCIX) / FUJI IX</t>
        </is>
      </c>
      <c r="D206" s="35" t="inlineStr">
        <is>
          <t>Set</t>
        </is>
      </c>
      <c r="E206" s="22" t="n">
        <v>0</v>
      </c>
      <c r="F206" s="58" t="n"/>
      <c r="G206" s="24">
        <f>E206+F206</f>
        <v/>
      </c>
      <c r="H206" s="23" t="n">
        <v>0</v>
      </c>
      <c r="I206" s="25">
        <f>G206-H206</f>
        <v/>
      </c>
      <c r="J206" s="26">
        <f>((H206*(20/100))+H206)-I206</f>
        <v/>
      </c>
      <c r="K206" s="26">
        <f>J206</f>
        <v/>
      </c>
      <c r="L206" s="61" t="n"/>
    </row>
    <row r="207" ht="15" customFormat="1" customHeight="1" s="36">
      <c r="B207" s="72" t="n">
        <v>188</v>
      </c>
      <c r="C207" s="74" t="inlineStr">
        <is>
          <t>Kalsium Hidroksida pasta / CALCIDOR / DYCAL</t>
        </is>
      </c>
      <c r="D207" s="35" t="inlineStr">
        <is>
          <t>Set</t>
        </is>
      </c>
      <c r="E207" s="22" t="n">
        <v>0</v>
      </c>
      <c r="F207" s="58" t="n"/>
      <c r="G207" s="24">
        <f>E207+F207</f>
        <v/>
      </c>
      <c r="H207" s="23" t="n">
        <v>0</v>
      </c>
      <c r="I207" s="25">
        <f>G207-H207</f>
        <v/>
      </c>
      <c r="J207" s="26">
        <f>((H207*(20/100))+H207)-I207</f>
        <v/>
      </c>
      <c r="K207" s="26">
        <f>J207</f>
        <v/>
      </c>
      <c r="L207" s="61" t="n"/>
    </row>
    <row r="208" ht="15.75" customFormat="1" customHeight="1" s="36">
      <c r="B208" s="72" t="n">
        <v>189</v>
      </c>
      <c r="C208" s="30" t="inlineStr">
        <is>
          <t>Mummifying Pasta / Iodoform</t>
        </is>
      </c>
      <c r="D208" s="75" t="inlineStr">
        <is>
          <t>Btl / ktk</t>
        </is>
      </c>
      <c r="E208" s="22" t="n">
        <v>0</v>
      </c>
      <c r="F208" s="58" t="n"/>
      <c r="G208" s="24">
        <f>E208+F208</f>
        <v/>
      </c>
      <c r="H208" s="23" t="n">
        <v>0</v>
      </c>
      <c r="I208" s="25">
        <f>G208-H208</f>
        <v/>
      </c>
      <c r="J208" s="26">
        <f>((H208*(20/100))+H208)-I208</f>
        <v/>
      </c>
      <c r="K208" s="26">
        <f>J208</f>
        <v/>
      </c>
      <c r="L208" s="61" t="n"/>
    </row>
    <row r="209" ht="30" customFormat="1" customHeight="1" s="36">
      <c r="B209" s="72" t="n">
        <v>190</v>
      </c>
      <c r="C209" s="30" t="inlineStr">
        <is>
          <t>Semen Seng Fosfat (Powder 30 gr, Liquid 10 ml)</t>
        </is>
      </c>
      <c r="D209" s="75" t="inlineStr">
        <is>
          <t>Set</t>
        </is>
      </c>
      <c r="E209" s="22" t="n">
        <v>0</v>
      </c>
      <c r="F209" s="58" t="n"/>
      <c r="G209" s="24">
        <f>E209+F209</f>
        <v/>
      </c>
      <c r="H209" s="23" t="n">
        <v>0</v>
      </c>
      <c r="I209" s="25">
        <f>G209-H209</f>
        <v/>
      </c>
      <c r="J209" s="26">
        <f>((H209*(20/100))+H209)-I209</f>
        <v/>
      </c>
      <c r="K209" s="26">
        <f>J209</f>
        <v/>
      </c>
      <c r="L209" s="61" t="n"/>
    </row>
    <row r="210" ht="15.75" customFormat="1" customHeight="1" s="36">
      <c r="B210" s="72" t="n">
        <v>191</v>
      </c>
      <c r="C210" s="30" t="inlineStr">
        <is>
          <t>Silver Amalgam</t>
        </is>
      </c>
      <c r="D210" s="75" t="inlineStr">
        <is>
          <t>Botol</t>
        </is>
      </c>
      <c r="E210" s="22" t="n">
        <v>0</v>
      </c>
      <c r="F210" s="58" t="n"/>
      <c r="G210" s="24">
        <f>E210+F210</f>
        <v/>
      </c>
      <c r="H210" s="23" t="n">
        <v>0</v>
      </c>
      <c r="I210" s="25">
        <f>G210-H210</f>
        <v/>
      </c>
      <c r="J210" s="26">
        <f>((H210*(20/100))+H210)-I210</f>
        <v/>
      </c>
      <c r="K210" s="26">
        <f>J210</f>
        <v/>
      </c>
      <c r="L210" s="61" t="n"/>
    </row>
    <row r="211" ht="15" customFormat="1" customHeight="1" s="36">
      <c r="B211" s="72" t="n">
        <v>192</v>
      </c>
      <c r="C211" s="30" t="inlineStr">
        <is>
          <t xml:space="preserve">Temporary Stopping Fletcher Serbuk (Powder) / </t>
        </is>
      </c>
      <c r="D211" s="35" t="inlineStr">
        <is>
          <t>Pot</t>
        </is>
      </c>
      <c r="E211" s="22" t="n">
        <v>0</v>
      </c>
      <c r="F211" s="58" t="n"/>
      <c r="G211" s="24">
        <f>E211+F211</f>
        <v/>
      </c>
      <c r="H211" s="23" t="n">
        <v>0</v>
      </c>
      <c r="I211" s="25">
        <f>G211-H211</f>
        <v/>
      </c>
      <c r="J211" s="26">
        <f>((H211*(20/100))+H211)-I211</f>
        <v/>
      </c>
      <c r="K211" s="26">
        <f>J211</f>
        <v/>
      </c>
      <c r="L211" s="61" t="n"/>
    </row>
    <row r="212" ht="15.75" customFormat="1" customHeight="1" s="40">
      <c r="B212" s="72" t="n"/>
      <c r="C212" s="56" t="n"/>
      <c r="D212" s="57" t="n"/>
      <c r="E212" s="22" t="n">
        <v>0</v>
      </c>
      <c r="F212" s="58" t="n"/>
      <c r="G212" s="59" t="n"/>
      <c r="H212" s="23" t="n">
        <v>0</v>
      </c>
      <c r="I212" s="25">
        <f>G212-H212</f>
        <v/>
      </c>
      <c r="J212" s="60" t="n"/>
      <c r="K212" s="60" t="n"/>
      <c r="L212" s="61" t="n"/>
    </row>
    <row r="213" ht="15.75" customFormat="1" customHeight="1" s="2">
      <c r="B213" s="66" t="n"/>
      <c r="C213" s="67" t="inlineStr">
        <is>
          <t>PERBEKALAN KESEHATAN</t>
        </is>
      </c>
      <c r="D213" s="68" t="n"/>
      <c r="E213" s="22" t="n">
        <v>0</v>
      </c>
      <c r="F213" s="69" t="n"/>
      <c r="G213" s="70" t="n"/>
      <c r="H213" s="23" t="n">
        <v>0</v>
      </c>
      <c r="I213" s="25">
        <f>G213-H213</f>
        <v/>
      </c>
      <c r="J213" s="70" t="n"/>
      <c r="K213" s="70" t="n"/>
      <c r="L213" s="71" t="n"/>
    </row>
    <row r="214" ht="15.75" customFormat="1" customHeight="1" s="2">
      <c r="B214" s="72" t="n">
        <v>193</v>
      </c>
      <c r="C214" s="30" t="inlineStr">
        <is>
          <t>Alat Suntik sekali pakai 1 ml</t>
        </is>
      </c>
      <c r="D214" s="35" t="inlineStr">
        <is>
          <t>Pcs</t>
        </is>
      </c>
      <c r="E214" s="22" t="n">
        <v>0</v>
      </c>
      <c r="F214" s="58" t="n"/>
      <c r="G214" s="24">
        <f>E214+F214</f>
        <v/>
      </c>
      <c r="H214" s="23" t="n">
        <v>0</v>
      </c>
      <c r="I214" s="25">
        <f>G214-H214</f>
        <v/>
      </c>
      <c r="J214" s="26">
        <f>((H214*(20/100))+H214)-I214</f>
        <v/>
      </c>
      <c r="K214" s="26">
        <f>J214</f>
        <v/>
      </c>
      <c r="L214" s="61" t="n"/>
    </row>
    <row r="215" ht="15.75" customFormat="1" customHeight="1" s="2">
      <c r="B215" s="72" t="n">
        <v>194</v>
      </c>
      <c r="C215" s="30" t="inlineStr">
        <is>
          <t>Alat Suntik sekali pakai 3 ml</t>
        </is>
      </c>
      <c r="D215" s="35" t="inlineStr">
        <is>
          <t>Pcs</t>
        </is>
      </c>
      <c r="E215" s="22" t="n">
        <v>0</v>
      </c>
      <c r="F215" s="58" t="n"/>
      <c r="G215" s="24">
        <f>E215+F215</f>
        <v/>
      </c>
      <c r="H215" s="23" t="n">
        <v>0</v>
      </c>
      <c r="I215" s="25">
        <f>G215-H215</f>
        <v/>
      </c>
      <c r="J215" s="26">
        <f>((H215*(20/100))+H215)-I215</f>
        <v/>
      </c>
      <c r="K215" s="26">
        <f>J215</f>
        <v/>
      </c>
      <c r="L215" s="61" t="n"/>
    </row>
    <row r="216" ht="15.75" customFormat="1" customHeight="1" s="2">
      <c r="B216" s="72" t="n">
        <v>195</v>
      </c>
      <c r="C216" s="30" t="inlineStr">
        <is>
          <t>Alat Suntik sekali pakai 5 ml</t>
        </is>
      </c>
      <c r="D216" s="35" t="inlineStr">
        <is>
          <t>Pcs</t>
        </is>
      </c>
      <c r="E216" s="22" t="n">
        <v>0</v>
      </c>
      <c r="F216" s="58" t="n"/>
      <c r="G216" s="24">
        <f>E216+F216</f>
        <v/>
      </c>
      <c r="H216" s="23" t="n">
        <v>0</v>
      </c>
      <c r="I216" s="25">
        <f>G216-H216</f>
        <v/>
      </c>
      <c r="J216" s="26">
        <f>((H216*(20/100))+H216)-I216</f>
        <v/>
      </c>
      <c r="K216" s="26">
        <f>J216</f>
        <v/>
      </c>
      <c r="L216" s="61" t="n"/>
    </row>
    <row r="217" ht="15.75" customFormat="1" customHeight="1" s="34">
      <c r="B217" s="72" t="n">
        <v>196</v>
      </c>
      <c r="C217" s="30" t="inlineStr">
        <is>
          <t>Alkohol Swab</t>
        </is>
      </c>
      <c r="D217" s="35" t="inlineStr">
        <is>
          <t>Kotak</t>
        </is>
      </c>
      <c r="E217" s="22" t="n">
        <v>0</v>
      </c>
      <c r="F217" s="58" t="n"/>
      <c r="G217" s="24">
        <f>E217+F217</f>
        <v/>
      </c>
      <c r="H217" s="23" t="n">
        <v>0</v>
      </c>
      <c r="I217" s="25">
        <f>G217-H217</f>
        <v/>
      </c>
      <c r="J217" s="26">
        <f>((H217*(20/100))+H217)-I217</f>
        <v/>
      </c>
      <c r="K217" s="26">
        <f>J217</f>
        <v/>
      </c>
      <c r="L217" s="61" t="n"/>
    </row>
    <row r="218" ht="15.75" customFormat="1" customHeight="1" s="2">
      <c r="B218" s="72" t="n">
        <v>197</v>
      </c>
      <c r="C218" s="30" t="inlineStr">
        <is>
          <t>Benang Bedah Catgut No. 2/0 + Needle</t>
        </is>
      </c>
      <c r="D218" s="35" t="inlineStr">
        <is>
          <t>Sach</t>
        </is>
      </c>
      <c r="E218" s="22" t="n">
        <v>0</v>
      </c>
      <c r="F218" s="58" t="n"/>
      <c r="G218" s="24">
        <f>E218+F218</f>
        <v/>
      </c>
      <c r="H218" s="23" t="n">
        <v>0</v>
      </c>
      <c r="I218" s="25">
        <f>G218-H218</f>
        <v/>
      </c>
      <c r="J218" s="26">
        <f>((H218*(20/100))+H218)-I218</f>
        <v/>
      </c>
      <c r="K218" s="26">
        <f>J218</f>
        <v/>
      </c>
      <c r="L218" s="61" t="n"/>
    </row>
    <row r="219" ht="15" customFormat="1" customHeight="1" s="2">
      <c r="B219" s="72" t="n">
        <v>198</v>
      </c>
      <c r="C219" s="30" t="inlineStr">
        <is>
          <t>Benang Bedah Catgut No. 3/0 + eedle</t>
        </is>
      </c>
      <c r="D219" s="35" t="inlineStr">
        <is>
          <t>Sach</t>
        </is>
      </c>
      <c r="E219" s="22" t="n">
        <v>0</v>
      </c>
      <c r="F219" s="58" t="n"/>
      <c r="G219" s="24">
        <f>E219+F219</f>
        <v/>
      </c>
      <c r="H219" s="23" t="n">
        <v>0</v>
      </c>
      <c r="I219" s="25">
        <f>G219-H219</f>
        <v/>
      </c>
      <c r="J219" s="26">
        <f>((H219*(20/100))+H219)-I219</f>
        <v/>
      </c>
      <c r="K219" s="26">
        <f>J219</f>
        <v/>
      </c>
      <c r="L219" s="61" t="n"/>
    </row>
    <row r="220" ht="15" customFormat="1" customHeight="1" s="2">
      <c r="B220" s="72" t="n">
        <v>199</v>
      </c>
      <c r="C220" s="30" t="inlineStr">
        <is>
          <t>Benang Bedah Silk Black  2/0   Without Needle</t>
        </is>
      </c>
      <c r="D220" s="35" t="inlineStr">
        <is>
          <t>Sach</t>
        </is>
      </c>
      <c r="E220" s="22" t="n">
        <v>0</v>
      </c>
      <c r="F220" s="58" t="n"/>
      <c r="G220" s="24">
        <f>E220+F220</f>
        <v/>
      </c>
      <c r="H220" s="23" t="n">
        <v>0</v>
      </c>
      <c r="I220" s="25">
        <f>G220-H220</f>
        <v/>
      </c>
      <c r="J220" s="26">
        <f>((H220*(20/100))+H220)-I220</f>
        <v/>
      </c>
      <c r="K220" s="26">
        <f>J220</f>
        <v/>
      </c>
      <c r="L220" s="61" t="n"/>
    </row>
    <row r="221" ht="15.75" customFormat="1" customHeight="1" s="2">
      <c r="B221" s="72" t="n">
        <v>200</v>
      </c>
      <c r="C221" s="30" t="inlineStr">
        <is>
          <t>Benang Bedah Silk Black  3/0  Without Needle</t>
        </is>
      </c>
      <c r="D221" s="35" t="inlineStr">
        <is>
          <t>Sach</t>
        </is>
      </c>
      <c r="E221" s="22" t="n">
        <v>0</v>
      </c>
      <c r="F221" s="58" t="n"/>
      <c r="G221" s="24">
        <f>E221+F221</f>
        <v/>
      </c>
      <c r="H221" s="23" t="n">
        <v>0</v>
      </c>
      <c r="I221" s="25">
        <f>G221-H221</f>
        <v/>
      </c>
      <c r="J221" s="26">
        <f>((H221*(20/100))+H221)-I221</f>
        <v/>
      </c>
      <c r="K221" s="26">
        <f>J221</f>
        <v/>
      </c>
      <c r="L221" s="61" t="n"/>
    </row>
    <row r="222" ht="15.75" customFormat="1" customHeight="1" s="2">
      <c r="B222" s="72" t="n">
        <v>201</v>
      </c>
      <c r="C222" s="30" t="inlineStr">
        <is>
          <t>Etanol 70 % - 1 L</t>
        </is>
      </c>
      <c r="D222" s="35" t="inlineStr">
        <is>
          <t xml:space="preserve">Botol </t>
        </is>
      </c>
      <c r="E222" s="22" t="n">
        <v>0</v>
      </c>
      <c r="F222" s="58" t="n"/>
      <c r="G222" s="24">
        <f>E222+F222</f>
        <v/>
      </c>
      <c r="H222" s="23" t="n">
        <v>0</v>
      </c>
      <c r="I222" s="25">
        <f>G222-H222</f>
        <v/>
      </c>
      <c r="J222" s="26">
        <f>((H222*(20/100))+H222)-I222</f>
        <v/>
      </c>
      <c r="K222" s="26">
        <f>J222</f>
        <v/>
      </c>
      <c r="L222" s="61" t="n"/>
    </row>
    <row r="223" ht="15.75" customFormat="1" customHeight="1" s="2">
      <c r="B223" s="72" t="n">
        <v>202</v>
      </c>
      <c r="C223" s="30" t="inlineStr">
        <is>
          <t>Etanol 70 % - 300 ml</t>
        </is>
      </c>
      <c r="D223" s="35" t="inlineStr">
        <is>
          <t xml:space="preserve">Botol </t>
        </is>
      </c>
      <c r="E223" s="22" t="n">
        <v>0</v>
      </c>
      <c r="F223" s="58" t="n"/>
      <c r="G223" s="24">
        <f>E223+F223</f>
        <v/>
      </c>
      <c r="H223" s="23" t="n">
        <v>0</v>
      </c>
      <c r="I223" s="25">
        <f>G223-H223</f>
        <v/>
      </c>
      <c r="J223" s="26">
        <f>((H223*(20/100))+H223)-I223</f>
        <v/>
      </c>
      <c r="K223" s="26">
        <f>J223</f>
        <v/>
      </c>
      <c r="L223" s="61" t="n"/>
    </row>
    <row r="224" ht="15" customFormat="1" customHeight="1" s="40">
      <c r="B224" s="72" t="n">
        <v>203</v>
      </c>
      <c r="C224" s="76" t="inlineStr">
        <is>
          <t>Fara Blood Glucosa</t>
        </is>
      </c>
      <c r="D224" s="75" t="inlineStr">
        <is>
          <t>Pcs</t>
        </is>
      </c>
      <c r="E224" s="22" t="n">
        <v>0</v>
      </c>
      <c r="F224" s="58" t="n"/>
      <c r="G224" s="24">
        <f>E224+F224</f>
        <v/>
      </c>
      <c r="H224" s="23" t="n">
        <v>0</v>
      </c>
      <c r="I224" s="25">
        <f>G224-H224</f>
        <v/>
      </c>
      <c r="J224" s="26">
        <f>((H224*(20/100))+H224)-I224</f>
        <v/>
      </c>
      <c r="K224" s="26">
        <f>J224</f>
        <v/>
      </c>
      <c r="L224" s="61" t="n"/>
    </row>
    <row r="225" ht="15" customFormat="1" customHeight="1" s="40">
      <c r="B225" s="72" t="n">
        <v>204</v>
      </c>
      <c r="C225" s="76" t="inlineStr">
        <is>
          <t>Feley Catheter FR 18/30 ml</t>
        </is>
      </c>
      <c r="D225" s="75" t="inlineStr">
        <is>
          <t>Pcs</t>
        </is>
      </c>
      <c r="E225" s="22" t="n">
        <v>0</v>
      </c>
      <c r="F225" s="58" t="n"/>
      <c r="G225" s="24">
        <f>E225+F225</f>
        <v/>
      </c>
      <c r="H225" s="23" t="n">
        <v>0</v>
      </c>
      <c r="I225" s="25">
        <f>G225-H225</f>
        <v/>
      </c>
      <c r="J225" s="26">
        <f>((H225*(20/100))+H225)-I225</f>
        <v/>
      </c>
      <c r="K225" s="26">
        <f>J225</f>
        <v/>
      </c>
      <c r="L225" s="61" t="n"/>
    </row>
    <row r="226" ht="15.75" customFormat="1" customHeight="1" s="2">
      <c r="B226" s="72" t="n">
        <v>206</v>
      </c>
      <c r="C226" s="37" t="inlineStr">
        <is>
          <t>Folley Cateter N0.18</t>
        </is>
      </c>
      <c r="D226" s="75" t="inlineStr">
        <is>
          <t>Pcs</t>
        </is>
      </c>
      <c r="E226" s="22" t="n">
        <v>0</v>
      </c>
      <c r="F226" s="58" t="n"/>
      <c r="G226" s="24">
        <f>E226+F226</f>
        <v/>
      </c>
      <c r="H226" s="23" t="n">
        <v>0</v>
      </c>
      <c r="I226" s="25">
        <f>G226-H226</f>
        <v/>
      </c>
      <c r="J226" s="26">
        <f>((H226*(20/100))+H226)-I226</f>
        <v/>
      </c>
      <c r="K226" s="26">
        <f>J226</f>
        <v/>
      </c>
      <c r="L226" s="61" t="n"/>
    </row>
    <row r="227" ht="15.75" customFormat="1" customHeight="1" s="2">
      <c r="B227" s="72" t="n">
        <v>207</v>
      </c>
      <c r="C227" s="30" t="inlineStr">
        <is>
          <t>Hand Sanitizer</t>
        </is>
      </c>
      <c r="D227" s="75" t="n">
        <v>0</v>
      </c>
      <c r="E227" s="22" t="n">
        <v>0</v>
      </c>
      <c r="F227" s="58" t="n"/>
      <c r="G227" s="24">
        <f>E227+F227</f>
        <v/>
      </c>
      <c r="H227" s="23" t="n">
        <v>0</v>
      </c>
      <c r="I227" s="25">
        <f>G227-H227</f>
        <v/>
      </c>
      <c r="J227" s="26">
        <f>((H227*(20/100))+H227)-I227</f>
        <v/>
      </c>
      <c r="K227" s="26">
        <f>J227</f>
        <v/>
      </c>
      <c r="L227" s="61" t="n"/>
    </row>
    <row r="228" ht="15.75" customFormat="1" customHeight="1" s="34">
      <c r="B228" s="72" t="n">
        <v>208</v>
      </c>
      <c r="C228" s="30" t="inlineStr">
        <is>
          <t>Infus set Bayi</t>
        </is>
      </c>
      <c r="D228" s="75" t="inlineStr">
        <is>
          <t>Pcs</t>
        </is>
      </c>
      <c r="E228" s="22" t="n">
        <v>0</v>
      </c>
      <c r="F228" s="58" t="n"/>
      <c r="G228" s="24">
        <f>E228+F228</f>
        <v/>
      </c>
      <c r="H228" s="23" t="n">
        <v>0</v>
      </c>
      <c r="I228" s="25">
        <f>G228-H228</f>
        <v/>
      </c>
      <c r="J228" s="26">
        <f>((H228*(20/100))+H228)-I228</f>
        <v/>
      </c>
      <c r="K228" s="26">
        <f>J228</f>
        <v/>
      </c>
      <c r="L228" s="61" t="n"/>
    </row>
    <row r="229" ht="15" customFormat="1" customHeight="1" s="2">
      <c r="B229" s="72" t="n">
        <v>209</v>
      </c>
      <c r="C229" s="37" t="inlineStr">
        <is>
          <t>Infusion Set Anak</t>
        </is>
      </c>
      <c r="D229" s="75" t="inlineStr">
        <is>
          <t>Pcs</t>
        </is>
      </c>
      <c r="E229" s="22" t="n">
        <v>0</v>
      </c>
      <c r="F229" s="58" t="n"/>
      <c r="G229" s="24">
        <f>E229+F229</f>
        <v/>
      </c>
      <c r="H229" s="23" t="n">
        <v>0</v>
      </c>
      <c r="I229" s="25">
        <f>G229-H229</f>
        <v/>
      </c>
      <c r="J229" s="26">
        <f>((H229*(20/100))+H229)-I229</f>
        <v/>
      </c>
      <c r="K229" s="26">
        <f>J229</f>
        <v/>
      </c>
      <c r="L229" s="61" t="n"/>
    </row>
    <row r="230" ht="15" customFormat="1" customHeight="1" s="2">
      <c r="B230" s="72" t="n">
        <v>210</v>
      </c>
      <c r="C230" s="30" t="inlineStr">
        <is>
          <t>Infusion Set Dewasa</t>
        </is>
      </c>
      <c r="D230" s="75" t="inlineStr">
        <is>
          <t>Pcs</t>
        </is>
      </c>
      <c r="E230" s="22" t="n">
        <v>0</v>
      </c>
      <c r="F230" s="58" t="n"/>
      <c r="G230" s="24">
        <f>E230+F230</f>
        <v/>
      </c>
      <c r="H230" s="23" t="n">
        <v>0</v>
      </c>
      <c r="I230" s="25">
        <f>G230-H230</f>
        <v/>
      </c>
      <c r="J230" s="26">
        <f>((H230*(20/100))+H230)-I230</f>
        <v/>
      </c>
      <c r="K230" s="26">
        <f>J230</f>
        <v/>
      </c>
      <c r="L230" s="61" t="n"/>
    </row>
    <row r="231" ht="15" customFormat="1" customHeight="1" s="34">
      <c r="B231" s="72" t="n">
        <v>211</v>
      </c>
      <c r="C231" s="30" t="inlineStr">
        <is>
          <t xml:space="preserve">IV. Catheter No.18 G </t>
        </is>
      </c>
      <c r="D231" s="35" t="inlineStr">
        <is>
          <t>Set</t>
        </is>
      </c>
      <c r="E231" s="22" t="n">
        <v>0</v>
      </c>
      <c r="F231" s="58" t="n"/>
      <c r="G231" s="24">
        <f>E231+F231</f>
        <v/>
      </c>
      <c r="H231" s="23" t="n">
        <v>0</v>
      </c>
      <c r="I231" s="25">
        <f>G231-H231</f>
        <v/>
      </c>
      <c r="J231" s="26">
        <f>((H231*(20/100))+H231)-I231</f>
        <v/>
      </c>
      <c r="K231" s="26">
        <f>J231</f>
        <v/>
      </c>
      <c r="L231" s="61" t="n"/>
    </row>
    <row r="232" ht="15" customFormat="1" customHeight="1" s="34">
      <c r="B232" s="72" t="n">
        <v>212</v>
      </c>
      <c r="C232" s="30" t="inlineStr">
        <is>
          <t>IV. Catheter No.20 G</t>
        </is>
      </c>
      <c r="D232" s="35" t="inlineStr">
        <is>
          <t>Set</t>
        </is>
      </c>
      <c r="E232" s="22" t="n">
        <v>0</v>
      </c>
      <c r="F232" s="58" t="n"/>
      <c r="G232" s="24">
        <f>E232+F232</f>
        <v/>
      </c>
      <c r="H232" s="23" t="n">
        <v>0</v>
      </c>
      <c r="I232" s="25">
        <f>G232-H232</f>
        <v/>
      </c>
      <c r="J232" s="26">
        <f>((H232*(20/100))+H232)-I232</f>
        <v/>
      </c>
      <c r="K232" s="26">
        <f>J232</f>
        <v/>
      </c>
      <c r="L232" s="61" t="n"/>
    </row>
    <row r="233" ht="15" customFormat="1" customHeight="1" s="2">
      <c r="B233" s="72" t="n">
        <v>213</v>
      </c>
      <c r="C233" s="30" t="inlineStr">
        <is>
          <t>IV. Catheter No.22 G</t>
        </is>
      </c>
      <c r="D233" s="35" t="inlineStr">
        <is>
          <t>Set</t>
        </is>
      </c>
      <c r="E233" s="22" t="n">
        <v>0</v>
      </c>
      <c r="F233" s="58" t="n"/>
      <c r="G233" s="24">
        <f>E233+F233</f>
        <v/>
      </c>
      <c r="H233" s="23" t="n">
        <v>0</v>
      </c>
      <c r="I233" s="25">
        <f>G233-H233</f>
        <v/>
      </c>
      <c r="J233" s="26">
        <f>((H233*(20/100))+H233)-I233</f>
        <v/>
      </c>
      <c r="K233" s="26">
        <f>J233</f>
        <v/>
      </c>
      <c r="L233" s="61" t="n"/>
    </row>
    <row r="234" ht="15" customFormat="1" customHeight="1" s="34">
      <c r="B234" s="72" t="n">
        <v>214</v>
      </c>
      <c r="C234" s="30" t="inlineStr">
        <is>
          <t>IV. Catheter No.24 G</t>
        </is>
      </c>
      <c r="D234" s="75" t="inlineStr">
        <is>
          <t>Set</t>
        </is>
      </c>
      <c r="E234" s="22" t="n">
        <v>0</v>
      </c>
      <c r="F234" s="58" t="n"/>
      <c r="G234" s="24">
        <f>E234+F234</f>
        <v/>
      </c>
      <c r="H234" s="23" t="n">
        <v>0</v>
      </c>
      <c r="I234" s="25">
        <f>G234-H234</f>
        <v/>
      </c>
      <c r="J234" s="26">
        <f>((H234*(20/100))+H234)-I234</f>
        <v/>
      </c>
      <c r="K234" s="26">
        <f>J234</f>
        <v/>
      </c>
      <c r="L234" s="61" t="n"/>
    </row>
    <row r="235" ht="15" customFormat="1" customHeight="1" s="2">
      <c r="B235" s="72" t="n">
        <v>215</v>
      </c>
      <c r="C235" s="30" t="inlineStr">
        <is>
          <t>Kapas 100 gram</t>
        </is>
      </c>
      <c r="D235" s="75" t="inlineStr">
        <is>
          <t>Bungkus</t>
        </is>
      </c>
      <c r="E235" s="22" t="n">
        <v>0</v>
      </c>
      <c r="F235" s="58" t="n"/>
      <c r="G235" s="24">
        <f>E235+F235</f>
        <v/>
      </c>
      <c r="H235" s="23" t="n">
        <v>0</v>
      </c>
      <c r="I235" s="25">
        <f>G235-H235</f>
        <v/>
      </c>
      <c r="J235" s="26">
        <f>((H235*(20/100))+H235)-I235</f>
        <v/>
      </c>
      <c r="K235" s="26">
        <f>J235</f>
        <v/>
      </c>
      <c r="L235" s="61" t="n"/>
    </row>
    <row r="236" ht="15.75" customFormat="1" customHeight="1" s="2">
      <c r="B236" s="72" t="n">
        <v>216</v>
      </c>
      <c r="C236" s="30" t="inlineStr">
        <is>
          <t xml:space="preserve">Kapas Pembalut / absorben 50 gram  </t>
        </is>
      </c>
      <c r="D236" s="75" t="inlineStr">
        <is>
          <t>Bungkus</t>
        </is>
      </c>
      <c r="E236" s="22" t="n">
        <v>0</v>
      </c>
      <c r="F236" s="58" t="n"/>
      <c r="G236" s="24">
        <f>E236+F236</f>
        <v/>
      </c>
      <c r="H236" s="23" t="n">
        <v>0</v>
      </c>
      <c r="I236" s="25">
        <f>G236-H236</f>
        <v/>
      </c>
      <c r="J236" s="26">
        <f>((H236*(20/100))+H236)-I236</f>
        <v/>
      </c>
      <c r="K236" s="26">
        <f>J236</f>
        <v/>
      </c>
      <c r="L236" s="61" t="n"/>
    </row>
    <row r="237" ht="15" customFormat="1" customHeight="1" s="2">
      <c r="B237" s="72" t="n">
        <v>217</v>
      </c>
      <c r="C237" s="30" t="inlineStr">
        <is>
          <t xml:space="preserve">Kapas Pembalut / absorben 250 gram  </t>
        </is>
      </c>
      <c r="D237" s="35" t="inlineStr">
        <is>
          <t>Bungkus</t>
        </is>
      </c>
      <c r="E237" s="22" t="n">
        <v>0</v>
      </c>
      <c r="F237" s="58" t="n"/>
      <c r="G237" s="24">
        <f>E237+F237</f>
        <v/>
      </c>
      <c r="H237" s="23" t="n">
        <v>0</v>
      </c>
      <c r="I237" s="25">
        <f>G237-H237</f>
        <v/>
      </c>
      <c r="J237" s="26">
        <f>((H237*(20/100))+H237)-I237</f>
        <v/>
      </c>
      <c r="K237" s="26">
        <f>J237</f>
        <v/>
      </c>
      <c r="L237" s="61" t="n"/>
    </row>
    <row r="238" ht="15" customFormat="1" customHeight="1" s="2">
      <c r="B238" s="72" t="n">
        <v>218</v>
      </c>
      <c r="C238" s="30" t="inlineStr">
        <is>
          <t xml:space="preserve">Kassa Hidrofil Steril uk. 16 x 16 </t>
        </is>
      </c>
      <c r="D238" s="35" t="inlineStr">
        <is>
          <t>Kotak</t>
        </is>
      </c>
      <c r="E238" s="22" t="n">
        <v>0</v>
      </c>
      <c r="F238" s="58" t="n"/>
      <c r="G238" s="24">
        <f>E238+F238</f>
        <v/>
      </c>
      <c r="H238" s="23" t="n">
        <v>0</v>
      </c>
      <c r="I238" s="25">
        <f>G238-H238</f>
        <v/>
      </c>
      <c r="J238" s="26">
        <f>((H238*(20/100))+H238)-I238</f>
        <v/>
      </c>
      <c r="K238" s="26">
        <f>J238</f>
        <v/>
      </c>
      <c r="L238" s="61" t="n"/>
    </row>
    <row r="239" ht="15" customFormat="1" customHeight="1" s="2">
      <c r="B239" s="72" t="n">
        <v>219</v>
      </c>
      <c r="C239" s="30" t="inlineStr">
        <is>
          <t>Kassa Hidrofil uk. / 40 yard x 80 cm</t>
        </is>
      </c>
      <c r="D239" s="35" t="inlineStr">
        <is>
          <t>Roll</t>
        </is>
      </c>
      <c r="E239" s="22" t="n">
        <v>0</v>
      </c>
      <c r="F239" s="58" t="n"/>
      <c r="G239" s="24">
        <f>E239+F239</f>
        <v/>
      </c>
      <c r="H239" s="23" t="n">
        <v>0</v>
      </c>
      <c r="I239" s="25">
        <f>G239-H239</f>
        <v/>
      </c>
      <c r="J239" s="26">
        <f>((H239*(20/100))+H239)-I239</f>
        <v/>
      </c>
      <c r="K239" s="26">
        <f>J239</f>
        <v/>
      </c>
      <c r="L239" s="61" t="n"/>
    </row>
    <row r="240" ht="15" customFormat="1" customHeight="1" s="2">
      <c r="B240" s="72" t="n">
        <v>220</v>
      </c>
      <c r="C240" s="30" t="inlineStr">
        <is>
          <t>Kassa pembalut hidrofil 3 yrd X15 cm</t>
        </is>
      </c>
      <c r="D240" s="35" t="inlineStr">
        <is>
          <t>Roll</t>
        </is>
      </c>
      <c r="E240" s="22" t="n">
        <v>0</v>
      </c>
      <c r="F240" s="58" t="n"/>
      <c r="G240" s="24">
        <f>E240+F240</f>
        <v/>
      </c>
      <c r="H240" s="23" t="n">
        <v>0</v>
      </c>
      <c r="I240" s="25">
        <f>G240-H240</f>
        <v/>
      </c>
      <c r="J240" s="26">
        <f>((H240*(20/100))+H240)-I240</f>
        <v/>
      </c>
      <c r="K240" s="26">
        <f>J240</f>
        <v/>
      </c>
      <c r="L240" s="61" t="n"/>
    </row>
    <row r="241" ht="15.75" customFormat="1" customHeight="1" s="2">
      <c r="B241" s="72" t="n">
        <v>221</v>
      </c>
      <c r="C241" s="30" t="inlineStr">
        <is>
          <t>Kertas EKG</t>
        </is>
      </c>
      <c r="D241" s="35" t="inlineStr">
        <is>
          <t>Pcs</t>
        </is>
      </c>
      <c r="E241" s="22" t="n">
        <v>0</v>
      </c>
      <c r="F241" s="58" t="n"/>
      <c r="G241" s="24">
        <f>E241+F241</f>
        <v/>
      </c>
      <c r="H241" s="23" t="n">
        <v>0</v>
      </c>
      <c r="I241" s="25">
        <f>G241-H241</f>
        <v/>
      </c>
      <c r="J241" s="26">
        <f>((H241*(20/100))+H241)-I241</f>
        <v/>
      </c>
      <c r="K241" s="26">
        <f>J241</f>
        <v/>
      </c>
      <c r="L241" s="61" t="n"/>
    </row>
    <row r="242" ht="15" customFormat="1" customHeight="1" s="34">
      <c r="B242" s="72" t="n">
        <v>222</v>
      </c>
      <c r="C242" s="30" t="inlineStr">
        <is>
          <t>Masker Bedah</t>
        </is>
      </c>
      <c r="D242" s="35" t="inlineStr">
        <is>
          <t>Kotak</t>
        </is>
      </c>
      <c r="E242" s="22" t="n">
        <v>0</v>
      </c>
      <c r="F242" s="58" t="n"/>
      <c r="G242" s="24">
        <f>E242+F242</f>
        <v/>
      </c>
      <c r="H242" s="23" t="n">
        <v>0</v>
      </c>
      <c r="I242" s="25">
        <f>G242-H242</f>
        <v/>
      </c>
      <c r="J242" s="26">
        <f>((H242*(20/100))+H242)-I242</f>
        <v/>
      </c>
      <c r="K242" s="26">
        <f>J242</f>
        <v/>
      </c>
      <c r="L242" s="61" t="n"/>
    </row>
    <row r="243" ht="15" customFormat="1" customHeight="1" s="2">
      <c r="B243" s="72" t="n">
        <v>223</v>
      </c>
      <c r="C243" s="30" t="inlineStr">
        <is>
          <t>Masker Hijab</t>
        </is>
      </c>
      <c r="D243" s="35" t="inlineStr">
        <is>
          <t>Kotak</t>
        </is>
      </c>
      <c r="E243" s="22" t="n">
        <v>0</v>
      </c>
      <c r="F243" s="58" t="n"/>
      <c r="G243" s="24">
        <f>E243+F243</f>
        <v/>
      </c>
      <c r="H243" s="23" t="n">
        <v>0</v>
      </c>
      <c r="I243" s="25">
        <f>G243-H243</f>
        <v/>
      </c>
      <c r="J243" s="26">
        <f>((H243*(20/100))+H243)-I243</f>
        <v/>
      </c>
      <c r="K243" s="26">
        <f>J243</f>
        <v/>
      </c>
      <c r="L243" s="61" t="n"/>
    </row>
    <row r="244" ht="15.75" customFormat="1" customHeight="1" s="2">
      <c r="B244" s="72" t="n">
        <v>224</v>
      </c>
      <c r="C244" s="30" t="inlineStr">
        <is>
          <t>Masker N95</t>
        </is>
      </c>
      <c r="D244" s="35" t="inlineStr">
        <is>
          <t>Kotak</t>
        </is>
      </c>
      <c r="E244" s="22" t="n">
        <v>0</v>
      </c>
      <c r="F244" s="58" t="n"/>
      <c r="G244" s="24">
        <f>E244+F244</f>
        <v/>
      </c>
      <c r="H244" s="23" t="n">
        <v>0</v>
      </c>
      <c r="I244" s="25">
        <f>G244-H244</f>
        <v/>
      </c>
      <c r="J244" s="26">
        <f>((H244*(20/100))+H244)-I244</f>
        <v/>
      </c>
      <c r="K244" s="26">
        <f>J244</f>
        <v/>
      </c>
      <c r="L244" s="61" t="n"/>
    </row>
    <row r="245" ht="15" customFormat="1" customHeight="1" s="34">
      <c r="B245" s="72" t="n">
        <v>225</v>
      </c>
      <c r="C245" s="76" t="inlineStr">
        <is>
          <t>Nasal Cannula Adult</t>
        </is>
      </c>
      <c r="D245" s="35" t="inlineStr">
        <is>
          <t>Pcs</t>
        </is>
      </c>
      <c r="E245" s="22" t="n">
        <v>0</v>
      </c>
      <c r="F245" s="58" t="n"/>
      <c r="G245" s="24">
        <f>E245+F245</f>
        <v/>
      </c>
      <c r="H245" s="23" t="n">
        <v>0</v>
      </c>
      <c r="I245" s="25">
        <f>G245-H245</f>
        <v/>
      </c>
      <c r="J245" s="26">
        <f>((H245*(20/100))+H245)-I245</f>
        <v/>
      </c>
      <c r="K245" s="26">
        <f>J245</f>
        <v/>
      </c>
      <c r="L245" s="61" t="n"/>
    </row>
    <row r="246" ht="15.75" customFormat="1" customHeight="1" s="2">
      <c r="B246" s="72" t="n">
        <v>226</v>
      </c>
      <c r="C246" s="37" t="inlineStr">
        <is>
          <t>Nasal Cannula Child</t>
        </is>
      </c>
      <c r="D246" s="35" t="inlineStr">
        <is>
          <t>Pcs</t>
        </is>
      </c>
      <c r="E246" s="22" t="n">
        <v>0</v>
      </c>
      <c r="F246" s="58" t="n"/>
      <c r="G246" s="24">
        <f>E246+F246</f>
        <v/>
      </c>
      <c r="H246" s="23" t="n">
        <v>0</v>
      </c>
      <c r="I246" s="25">
        <f>G246-H246</f>
        <v/>
      </c>
      <c r="J246" s="26">
        <f>((H246*(20/100))+H246)-I246</f>
        <v/>
      </c>
      <c r="K246" s="26">
        <f>J246</f>
        <v/>
      </c>
      <c r="L246" s="61" t="n"/>
    </row>
    <row r="247" ht="15.75" customFormat="1" customHeight="1" s="34">
      <c r="B247" s="72" t="n">
        <v>227</v>
      </c>
      <c r="C247" s="37" t="inlineStr">
        <is>
          <t>Nasal Cannula infant</t>
        </is>
      </c>
      <c r="D247" s="35" t="inlineStr">
        <is>
          <t>Pcs</t>
        </is>
      </c>
      <c r="E247" s="22" t="n">
        <v>0</v>
      </c>
      <c r="F247" s="58" t="n"/>
      <c r="G247" s="24">
        <f>E247+F247</f>
        <v/>
      </c>
      <c r="H247" s="23" t="n">
        <v>0</v>
      </c>
      <c r="I247" s="25">
        <f>G247-H247</f>
        <v/>
      </c>
      <c r="J247" s="26">
        <f>((H247*(20/100))+H247)-I247</f>
        <v/>
      </c>
      <c r="K247" s="26">
        <f>J247</f>
        <v/>
      </c>
      <c r="L247" s="61" t="n"/>
    </row>
    <row r="248" ht="15" customFormat="1" customHeight="1" s="2">
      <c r="B248" s="72" t="n">
        <v>228</v>
      </c>
      <c r="C248" s="37" t="inlineStr">
        <is>
          <t>Nebulizer Adult (sungkup)</t>
        </is>
      </c>
      <c r="D248" s="35" t="inlineStr">
        <is>
          <t>Pcs</t>
        </is>
      </c>
      <c r="E248" s="22" t="n">
        <v>0</v>
      </c>
      <c r="F248" s="58" t="n"/>
      <c r="G248" s="24">
        <f>E248+F248</f>
        <v/>
      </c>
      <c r="H248" s="23" t="n">
        <v>0</v>
      </c>
      <c r="I248" s="25">
        <f>G248-H248</f>
        <v/>
      </c>
      <c r="J248" s="26">
        <f>((H248*(20/100))+H248)-I248</f>
        <v/>
      </c>
      <c r="K248" s="26">
        <f>J248</f>
        <v/>
      </c>
      <c r="L248" s="61" t="n"/>
    </row>
    <row r="249" ht="15" customFormat="1" customHeight="1" s="2">
      <c r="B249" s="72" t="n">
        <v>229</v>
      </c>
      <c r="C249" s="37" t="inlineStr">
        <is>
          <t>Nebulizer Anak (sungkup)</t>
        </is>
      </c>
      <c r="D249" s="35" t="inlineStr">
        <is>
          <t>Pcs</t>
        </is>
      </c>
      <c r="E249" s="22" t="n">
        <v>0</v>
      </c>
      <c r="F249" s="58" t="n"/>
      <c r="G249" s="24">
        <f>E249+F249</f>
        <v/>
      </c>
      <c r="H249" s="23" t="n">
        <v>0</v>
      </c>
      <c r="I249" s="25">
        <f>G249-H249</f>
        <v/>
      </c>
      <c r="J249" s="26">
        <f>((H249*(20/100))+H249)-I249</f>
        <v/>
      </c>
      <c r="K249" s="26">
        <f>J249</f>
        <v/>
      </c>
      <c r="L249" s="61" t="n"/>
    </row>
    <row r="250" ht="15" customFormat="1" customHeight="1" s="34">
      <c r="B250" s="72" t="n">
        <v>230</v>
      </c>
      <c r="C250" s="37" t="inlineStr">
        <is>
          <t>Nebulizer Bayi (sungkup)</t>
        </is>
      </c>
      <c r="D250" s="35" t="inlineStr">
        <is>
          <t>Pcs</t>
        </is>
      </c>
      <c r="E250" s="22" t="n">
        <v>0</v>
      </c>
      <c r="F250" s="58" t="n"/>
      <c r="G250" s="24">
        <f>E250+F250</f>
        <v/>
      </c>
      <c r="H250" s="23" t="n">
        <v>0</v>
      </c>
      <c r="I250" s="25">
        <f>G250-H250</f>
        <v/>
      </c>
      <c r="J250" s="26">
        <f>((H250*(20/100))+H250)-I250</f>
        <v/>
      </c>
      <c r="K250" s="26">
        <f>J250</f>
        <v/>
      </c>
      <c r="L250" s="61" t="n"/>
    </row>
    <row r="251" ht="15" customFormat="1" customHeight="1" s="34">
      <c r="B251" s="72" t="n">
        <v>231</v>
      </c>
      <c r="C251" s="30" t="inlineStr">
        <is>
          <t xml:space="preserve">Plester 5 yard X 2 inch   </t>
        </is>
      </c>
      <c r="D251" s="75" t="inlineStr">
        <is>
          <t>Roll</t>
        </is>
      </c>
      <c r="E251" s="22" t="n">
        <v>0</v>
      </c>
      <c r="F251" s="58" t="n"/>
      <c r="G251" s="24">
        <f>E251+F251</f>
        <v/>
      </c>
      <c r="H251" s="23" t="n">
        <v>0</v>
      </c>
      <c r="I251" s="25">
        <f>G251-H251</f>
        <v/>
      </c>
      <c r="J251" s="26">
        <f>((H251*(20/100))+H251)-I251</f>
        <v/>
      </c>
      <c r="K251" s="26">
        <f>J251</f>
        <v/>
      </c>
      <c r="L251" s="61" t="n"/>
    </row>
    <row r="252" ht="15" customFormat="1" customHeight="1" s="2">
      <c r="B252" s="72" t="n">
        <v>232</v>
      </c>
      <c r="C252" s="30" t="inlineStr">
        <is>
          <t>Pot Sputum</t>
        </is>
      </c>
      <c r="D252" s="75" t="inlineStr">
        <is>
          <t>Pcs</t>
        </is>
      </c>
      <c r="E252" s="22" t="n">
        <v>0</v>
      </c>
      <c r="F252" s="58" t="n"/>
      <c r="G252" s="24">
        <f>E252+F252</f>
        <v/>
      </c>
      <c r="H252" s="23" t="n">
        <v>0</v>
      </c>
      <c r="I252" s="25">
        <f>G252-H252</f>
        <v/>
      </c>
      <c r="J252" s="26">
        <f>((H252*(20/100))+H252)-I252</f>
        <v/>
      </c>
      <c r="K252" s="26">
        <f>J252</f>
        <v/>
      </c>
      <c r="L252" s="61" t="n"/>
    </row>
    <row r="253" ht="15.75" customFormat="1" customHeight="1" s="2">
      <c r="B253" s="72" t="n">
        <v>233</v>
      </c>
      <c r="C253" s="30" t="inlineStr">
        <is>
          <t>Sarung Tangan L</t>
        </is>
      </c>
      <c r="D253" s="73" t="inlineStr">
        <is>
          <t>Kotak</t>
        </is>
      </c>
      <c r="E253" s="22" t="n">
        <v>0</v>
      </c>
      <c r="F253" s="58" t="n"/>
      <c r="G253" s="24">
        <f>E253+F253</f>
        <v/>
      </c>
      <c r="H253" s="23" t="n">
        <v>0</v>
      </c>
      <c r="I253" s="25">
        <f>G253-H253</f>
        <v/>
      </c>
      <c r="J253" s="26">
        <f>((H253*(20/100))+H253)-I253</f>
        <v/>
      </c>
      <c r="K253" s="26">
        <f>J253</f>
        <v/>
      </c>
      <c r="L253" s="61" t="n"/>
    </row>
    <row r="254" ht="15" customFormat="1" customHeight="1" s="2">
      <c r="B254" s="72" t="n">
        <v>234</v>
      </c>
      <c r="C254" s="30" t="inlineStr">
        <is>
          <t>Sarung Tangan M</t>
        </is>
      </c>
      <c r="D254" s="73" t="inlineStr">
        <is>
          <t>Kotak</t>
        </is>
      </c>
      <c r="E254" s="22" t="n">
        <v>0</v>
      </c>
      <c r="F254" s="58" t="n"/>
      <c r="G254" s="24">
        <f>E254+F254</f>
        <v/>
      </c>
      <c r="H254" s="23" t="n">
        <v>0</v>
      </c>
      <c r="I254" s="25">
        <f>G254-H254</f>
        <v/>
      </c>
      <c r="J254" s="26">
        <f>((H254*(20/100))+H254)-I254</f>
        <v/>
      </c>
      <c r="K254" s="26">
        <f>J254</f>
        <v/>
      </c>
      <c r="L254" s="61" t="n"/>
    </row>
    <row r="255" ht="18" customFormat="1" customHeight="1" s="34">
      <c r="B255" s="72" t="n">
        <v>235</v>
      </c>
      <c r="C255" s="37" t="inlineStr">
        <is>
          <t>Sarung Tangan No. 6,5</t>
        </is>
      </c>
      <c r="D255" s="73" t="inlineStr">
        <is>
          <t>Pcs</t>
        </is>
      </c>
      <c r="E255" s="22" t="n">
        <v>0</v>
      </c>
      <c r="F255" s="58" t="n"/>
      <c r="G255" s="24">
        <f>E255+F255</f>
        <v/>
      </c>
      <c r="H255" s="23" t="n">
        <v>0</v>
      </c>
      <c r="I255" s="25">
        <f>G255-H255</f>
        <v/>
      </c>
      <c r="J255" s="26">
        <f>((H255*(20/100))+H255)-I255</f>
        <v/>
      </c>
      <c r="K255" s="26">
        <f>J255</f>
        <v/>
      </c>
      <c r="L255" s="61" t="n"/>
    </row>
    <row r="256" ht="15" customFormat="1" customHeight="1" s="2">
      <c r="B256" s="72" t="n">
        <v>236</v>
      </c>
      <c r="C256" s="37" t="inlineStr">
        <is>
          <t>Sarung Tangan No. 7</t>
        </is>
      </c>
      <c r="D256" s="73" t="inlineStr">
        <is>
          <t>Pcs</t>
        </is>
      </c>
      <c r="E256" s="22" t="n">
        <v>0</v>
      </c>
      <c r="F256" s="58" t="n"/>
      <c r="G256" s="24">
        <f>E256+F256</f>
        <v/>
      </c>
      <c r="H256" s="23" t="n">
        <v>0</v>
      </c>
      <c r="I256" s="25">
        <f>G256-H256</f>
        <v/>
      </c>
      <c r="J256" s="26">
        <f>((H256*(20/100))+H256)-I256</f>
        <v/>
      </c>
      <c r="K256" s="26">
        <f>J256</f>
        <v/>
      </c>
      <c r="L256" s="61" t="n"/>
    </row>
    <row r="257" ht="15" customFormat="1" customHeight="1" s="2">
      <c r="B257" s="72" t="n">
        <v>237</v>
      </c>
      <c r="C257" s="37" t="inlineStr">
        <is>
          <t>Sarung Tangan No. 7,5</t>
        </is>
      </c>
      <c r="D257" s="73" t="inlineStr">
        <is>
          <t>Pcs</t>
        </is>
      </c>
      <c r="E257" s="22" t="n">
        <v>0</v>
      </c>
      <c r="F257" s="58" t="n"/>
      <c r="G257" s="24">
        <f>E257+F257</f>
        <v/>
      </c>
      <c r="H257" s="23" t="n">
        <v>0</v>
      </c>
      <c r="I257" s="25">
        <f>G257-H257</f>
        <v/>
      </c>
      <c r="J257" s="26">
        <f>((H257*(20/100))+H257)-I257</f>
        <v/>
      </c>
      <c r="K257" s="26">
        <f>J257</f>
        <v/>
      </c>
      <c r="L257" s="61" t="n"/>
    </row>
    <row r="258" ht="15" customFormat="1" customHeight="1" s="2">
      <c r="B258" s="72" t="n">
        <v>238</v>
      </c>
      <c r="C258" s="30" t="inlineStr">
        <is>
          <t>Urine Bag</t>
        </is>
      </c>
      <c r="D258" s="73" t="inlineStr">
        <is>
          <t>Pcs</t>
        </is>
      </c>
      <c r="E258" s="22" t="n">
        <v>0</v>
      </c>
      <c r="F258" s="58" t="n"/>
      <c r="G258" s="24">
        <f>E258+F258</f>
        <v/>
      </c>
      <c r="H258" s="23" t="n">
        <v>0</v>
      </c>
      <c r="I258" s="25">
        <f>G258-H258</f>
        <v/>
      </c>
      <c r="J258" s="26">
        <f>((H258*(20/100))+H258)-I258</f>
        <v/>
      </c>
      <c r="K258" s="26">
        <f>J258</f>
        <v/>
      </c>
      <c r="L258" s="61" t="n"/>
    </row>
    <row r="259" ht="15.75" customFormat="1" customHeight="1" s="34">
      <c r="B259" s="72" t="n">
        <v>239</v>
      </c>
      <c r="C259" s="76" t="inlineStr">
        <is>
          <t>USG Gel  250 g</t>
        </is>
      </c>
      <c r="D259" s="73" t="inlineStr">
        <is>
          <t xml:space="preserve">Botol </t>
        </is>
      </c>
      <c r="E259" s="22" t="n">
        <v>0</v>
      </c>
      <c r="F259" s="58" t="n"/>
      <c r="G259" s="24">
        <f>E259+F259</f>
        <v/>
      </c>
      <c r="H259" s="23" t="n">
        <v>0</v>
      </c>
      <c r="I259" s="25">
        <f>G259-H259</f>
        <v/>
      </c>
      <c r="J259" s="26">
        <f>((H259*(20/100))+H259)-I259</f>
        <v/>
      </c>
      <c r="K259" s="26">
        <f>J259</f>
        <v/>
      </c>
      <c r="L259" s="61" t="n"/>
    </row>
    <row r="260" ht="15.75" customFormat="1" customHeight="1" s="34">
      <c r="B260" s="72" t="n">
        <v>240</v>
      </c>
      <c r="C260" s="76" t="inlineStr">
        <is>
          <t>Vacum Tube ClotActivator Glass 3 Ml</t>
        </is>
      </c>
      <c r="D260" s="73" t="inlineStr">
        <is>
          <t>Pcs</t>
        </is>
      </c>
      <c r="E260" s="22" t="n">
        <v>0</v>
      </c>
      <c r="F260" s="58" t="n"/>
      <c r="G260" s="24">
        <f>E260+F260</f>
        <v/>
      </c>
      <c r="H260" s="23" t="n">
        <v>0</v>
      </c>
      <c r="I260" s="25">
        <f>G260-H260</f>
        <v/>
      </c>
      <c r="J260" s="26">
        <f>((H260*(20/100))+H260)-I260</f>
        <v/>
      </c>
      <c r="K260" s="26">
        <f>J260</f>
        <v/>
      </c>
      <c r="L260" s="61" t="n"/>
    </row>
    <row r="261" ht="15.75" customFormat="1" customHeight="1" s="2">
      <c r="B261" s="72" t="n"/>
      <c r="C261" s="56" t="n"/>
      <c r="D261" s="57" t="n"/>
      <c r="E261" s="22" t="n">
        <v>0</v>
      </c>
      <c r="F261" s="58" t="n"/>
      <c r="G261" s="59" t="n"/>
      <c r="H261" s="23" t="n">
        <v>0</v>
      </c>
      <c r="I261" s="25">
        <f>G261-H261</f>
        <v/>
      </c>
      <c r="J261" s="60" t="n"/>
      <c r="K261" s="60" t="n"/>
      <c r="L261" s="61" t="n"/>
    </row>
    <row r="262" ht="15.75" customFormat="1" customHeight="1" s="2">
      <c r="B262" s="66" t="n"/>
      <c r="C262" s="67" t="inlineStr">
        <is>
          <t>OBAT PONED</t>
        </is>
      </c>
      <c r="D262" s="77" t="n"/>
      <c r="E262" s="22" t="n">
        <v>0</v>
      </c>
      <c r="F262" s="78" t="n"/>
      <c r="G262" s="79" t="n"/>
      <c r="H262" s="23" t="n">
        <v>0</v>
      </c>
      <c r="I262" s="25">
        <f>G262-H262</f>
        <v/>
      </c>
      <c r="J262" s="79" t="n"/>
      <c r="K262" s="79" t="n"/>
      <c r="L262" s="80" t="n"/>
    </row>
    <row r="263" ht="15" customFormat="1" customHeight="1" s="34">
      <c r="B263" s="72" t="n">
        <v>241</v>
      </c>
      <c r="C263" s="30" t="inlineStr">
        <is>
          <t>MgSO4 20 % injeksi</t>
        </is>
      </c>
      <c r="D263" s="35" t="inlineStr">
        <is>
          <t>Botol</t>
        </is>
      </c>
      <c r="E263" s="22" t="n">
        <v>0</v>
      </c>
      <c r="F263" s="58" t="n"/>
      <c r="G263" s="24">
        <f>E263+F263</f>
        <v/>
      </c>
      <c r="H263" s="23" t="n">
        <v>0</v>
      </c>
      <c r="I263" s="25">
        <f>G263-H263</f>
        <v/>
      </c>
      <c r="J263" s="26">
        <f>((H263*(20/100))+H263)-I263</f>
        <v/>
      </c>
      <c r="K263" s="26">
        <f>J263</f>
        <v/>
      </c>
      <c r="L263" s="61" t="inlineStr">
        <is>
          <t>ED</t>
        </is>
      </c>
    </row>
    <row r="264" ht="15" customFormat="1" customHeight="1" s="34">
      <c r="B264" s="72" t="n">
        <v>242</v>
      </c>
      <c r="C264" s="30" t="inlineStr">
        <is>
          <t>MgSO4 40 % injeksi</t>
        </is>
      </c>
      <c r="D264" s="35" t="inlineStr">
        <is>
          <t>Botol</t>
        </is>
      </c>
      <c r="E264" s="22" t="n">
        <v>0</v>
      </c>
      <c r="F264" s="58" t="n"/>
      <c r="G264" s="24">
        <f>E264+F264</f>
        <v/>
      </c>
      <c r="H264" s="23" t="n">
        <v>0</v>
      </c>
      <c r="I264" s="25">
        <f>G264-H264</f>
        <v/>
      </c>
      <c r="J264" s="26">
        <f>((H264*(20/100))+H264)-I264</f>
        <v/>
      </c>
      <c r="K264" s="26">
        <f>J264</f>
        <v/>
      </c>
      <c r="L264" s="61" t="n"/>
    </row>
    <row r="265" ht="15" customFormat="1" customHeight="1" s="34">
      <c r="B265" s="72" t="n">
        <v>243</v>
      </c>
      <c r="C265" s="30" t="inlineStr">
        <is>
          <t xml:space="preserve">Oksitosin injeksi 10 IU/ml - 1 ml </t>
        </is>
      </c>
      <c r="D265" s="35" t="inlineStr">
        <is>
          <t>Ampul</t>
        </is>
      </c>
      <c r="E265" s="22" t="n">
        <v>0</v>
      </c>
      <c r="F265" s="58" t="n"/>
      <c r="G265" s="24">
        <f>E265+F265</f>
        <v/>
      </c>
      <c r="H265" s="23" t="n">
        <v>0</v>
      </c>
      <c r="I265" s="25">
        <f>G265-H265</f>
        <v/>
      </c>
      <c r="J265" s="26">
        <f>((H265*(20/100))+H265)-I265</f>
        <v/>
      </c>
      <c r="K265" s="26">
        <f>J265</f>
        <v/>
      </c>
      <c r="L265" s="61" t="n"/>
    </row>
    <row r="266" ht="15" customFormat="1" customHeight="1" s="34">
      <c r="B266" s="72" t="n"/>
      <c r="C266" s="56" t="n"/>
      <c r="D266" s="57" t="n"/>
      <c r="E266" s="22" t="n">
        <v>0</v>
      </c>
      <c r="F266" s="58" t="n"/>
      <c r="G266" s="24" t="n"/>
      <c r="H266" s="23" t="n">
        <v>0</v>
      </c>
      <c r="I266" s="25">
        <f>G266-H266</f>
        <v/>
      </c>
      <c r="J266" s="26" t="n"/>
      <c r="K266" s="26" t="n"/>
      <c r="L266" s="61" t="n"/>
    </row>
    <row r="267" ht="15" customFormat="1" customHeight="1" s="34">
      <c r="B267" s="66" t="n"/>
      <c r="C267" s="67" t="inlineStr">
        <is>
          <t>VAKSIN</t>
        </is>
      </c>
      <c r="D267" s="77" t="n"/>
      <c r="E267" s="22" t="n">
        <v>0</v>
      </c>
      <c r="F267" s="78" t="n"/>
      <c r="G267" s="24" t="n"/>
      <c r="H267" s="23" t="n">
        <v>0</v>
      </c>
      <c r="I267" s="25">
        <f>G267-H267</f>
        <v/>
      </c>
      <c r="J267" s="26" t="n"/>
      <c r="K267" s="26" t="n"/>
      <c r="L267" s="80" t="n"/>
    </row>
    <row r="268" ht="15" customFormat="1" customHeight="1" s="34">
      <c r="B268" s="72" t="n">
        <v>244</v>
      </c>
      <c r="C268" s="30" t="inlineStr">
        <is>
          <t>Biosat / ATS</t>
        </is>
      </c>
      <c r="D268" s="35" t="inlineStr">
        <is>
          <t>Ampul</t>
        </is>
      </c>
      <c r="E268" s="22" t="n">
        <v>0</v>
      </c>
      <c r="F268" s="81" t="n"/>
      <c r="G268" s="24">
        <f>E268+F268</f>
        <v/>
      </c>
      <c r="H268" s="23" t="n">
        <v>0</v>
      </c>
      <c r="I268" s="25">
        <f>G268-H268</f>
        <v/>
      </c>
      <c r="J268" s="26">
        <f>((H268*(20/100))+H268)-I268</f>
        <v/>
      </c>
      <c r="K268" s="26">
        <f>J268</f>
        <v/>
      </c>
      <c r="L268" s="65" t="n"/>
    </row>
    <row r="269" ht="15" customFormat="1" customHeight="1" s="2">
      <c r="B269" s="72" t="n">
        <v>245</v>
      </c>
      <c r="C269" s="30" t="inlineStr">
        <is>
          <t>Biosave</t>
        </is>
      </c>
      <c r="D269" s="35" t="inlineStr">
        <is>
          <t>Vial</t>
        </is>
      </c>
      <c r="E269" s="22" t="n">
        <v>0</v>
      </c>
      <c r="F269" s="81" t="n"/>
      <c r="G269" s="24">
        <f>E269+F269</f>
        <v/>
      </c>
      <c r="H269" s="23" t="n">
        <v>0</v>
      </c>
      <c r="I269" s="25">
        <f>G269-H269</f>
        <v/>
      </c>
      <c r="J269" s="26">
        <f>((H269*(20/100))+H269)-I269</f>
        <v/>
      </c>
      <c r="K269" s="26">
        <f>J269</f>
        <v/>
      </c>
      <c r="L269" s="65" t="n"/>
    </row>
    <row r="270" ht="15" customFormat="1" customHeight="1" s="2">
      <c r="B270" s="72" t="n">
        <v>246</v>
      </c>
      <c r="C270" s="56" t="inlineStr">
        <is>
          <t>Chirorab Vaksin / Vaksin Rabies</t>
        </is>
      </c>
      <c r="D270" s="62" t="inlineStr">
        <is>
          <t>Kuur</t>
        </is>
      </c>
      <c r="E270" s="22" t="n">
        <v>0</v>
      </c>
      <c r="F270" s="63" t="n"/>
      <c r="G270" s="24">
        <f>E270+F270</f>
        <v/>
      </c>
      <c r="H270" s="23" t="n">
        <v>0</v>
      </c>
      <c r="I270" s="25">
        <f>G270-H270</f>
        <v/>
      </c>
      <c r="J270" s="26">
        <f>((H270*(20/100))+H270)-I270</f>
        <v/>
      </c>
      <c r="K270" s="26">
        <f>J270</f>
        <v/>
      </c>
      <c r="L270" s="65" t="n"/>
    </row>
    <row r="271" ht="15" customFormat="1" customHeight="1" s="2">
      <c r="B271" s="72" t="n">
        <v>247</v>
      </c>
      <c r="C271" s="56" t="inlineStr">
        <is>
          <t>Mineral Mix</t>
        </is>
      </c>
      <c r="D271" s="62" t="inlineStr">
        <is>
          <t>Tablet</t>
        </is>
      </c>
      <c r="E271" s="22" t="n">
        <v>0</v>
      </c>
      <c r="F271" s="63" t="n"/>
      <c r="G271" s="24">
        <f>E271+F271</f>
        <v/>
      </c>
      <c r="H271" s="23" t="n">
        <v>0</v>
      </c>
      <c r="I271" s="25">
        <f>G271-H271</f>
        <v/>
      </c>
      <c r="J271" s="26">
        <f>((H271*(20/100))+H271)-I271</f>
        <v/>
      </c>
      <c r="K271" s="26">
        <f>J271</f>
        <v/>
      </c>
      <c r="L271" s="65" t="inlineStr">
        <is>
          <t>ED</t>
        </is>
      </c>
    </row>
    <row r="272" ht="15" customFormat="1" customHeight="1" s="34">
      <c r="B272" s="72" t="n">
        <v>248</v>
      </c>
      <c r="C272" s="56" t="inlineStr">
        <is>
          <t>Striatamin</t>
        </is>
      </c>
      <c r="D272" s="62" t="inlineStr">
        <is>
          <t>Tablet</t>
        </is>
      </c>
      <c r="E272" s="22" t="n">
        <v>0</v>
      </c>
      <c r="F272" s="63" t="n"/>
      <c r="G272" s="24">
        <f>E272+F272</f>
        <v/>
      </c>
      <c r="H272" s="23" t="n">
        <v>0</v>
      </c>
      <c r="I272" s="25">
        <f>G272-H272</f>
        <v/>
      </c>
      <c r="J272" s="26">
        <f>((H272*(20/100))+H272)-I272</f>
        <v/>
      </c>
      <c r="K272" s="26">
        <f>J272</f>
        <v/>
      </c>
      <c r="L272" s="65" t="inlineStr">
        <is>
          <t>ED</t>
        </is>
      </c>
    </row>
    <row r="273" ht="15" customFormat="1" customHeight="1" s="34">
      <c r="B273" s="72" t="n">
        <v>249</v>
      </c>
      <c r="C273" s="56" t="inlineStr">
        <is>
          <t>Sultrimix Ds</t>
        </is>
      </c>
      <c r="D273" s="62" t="inlineStr">
        <is>
          <t>Tablet</t>
        </is>
      </c>
      <c r="E273" s="22" t="n">
        <v>0</v>
      </c>
      <c r="F273" s="63" t="n"/>
      <c r="G273" s="24">
        <f>E273+F273</f>
        <v/>
      </c>
      <c r="H273" s="23" t="n">
        <v>0</v>
      </c>
      <c r="I273" s="25">
        <f>G273-H273</f>
        <v/>
      </c>
      <c r="J273" s="26">
        <f>((H273*(20/100))+H273)-I273</f>
        <v/>
      </c>
      <c r="K273" s="26">
        <f>J273</f>
        <v/>
      </c>
      <c r="L273" s="65" t="n"/>
    </row>
    <row r="274" ht="15" customFormat="1" customHeight="1" s="34">
      <c r="B274" s="66" t="n"/>
      <c r="C274" s="67" t="inlineStr">
        <is>
          <t>OBAT TAMBAHAN</t>
        </is>
      </c>
      <c r="D274" s="77" t="n"/>
      <c r="E274" s="22" t="n">
        <v>0</v>
      </c>
      <c r="F274" s="78" t="n"/>
      <c r="G274" s="79" t="n"/>
      <c r="H274" s="23" t="n">
        <v>0</v>
      </c>
      <c r="I274" s="25">
        <f>G274-H274</f>
        <v/>
      </c>
      <c r="J274" s="79" t="n"/>
      <c r="K274" s="77" t="n"/>
      <c r="L274" s="80" t="n"/>
    </row>
    <row r="275" ht="15" customFormat="1" customHeight="1" s="34">
      <c r="B275" s="72" t="n">
        <v>250</v>
      </c>
      <c r="C275" s="30" t="inlineStr">
        <is>
          <t>Biolisin Tablet</t>
        </is>
      </c>
      <c r="D275" s="35" t="inlineStr">
        <is>
          <t>Tablet</t>
        </is>
      </c>
      <c r="E275" s="22" t="n">
        <v>0</v>
      </c>
      <c r="F275" s="58" t="n"/>
      <c r="G275" s="24">
        <f>E275+F275</f>
        <v/>
      </c>
      <c r="H275" s="23" t="n">
        <v>0</v>
      </c>
      <c r="I275" s="25">
        <f>G275-H275</f>
        <v/>
      </c>
      <c r="J275" s="26">
        <f>((H275*(20/100))+H275)-I275</f>
        <v/>
      </c>
      <c r="K275" s="26">
        <f>J275</f>
        <v/>
      </c>
      <c r="L275" s="61" t="n"/>
    </row>
    <row r="276" ht="15.75" customFormat="1" customHeight="1" s="40">
      <c r="B276" s="72" t="n">
        <v>251</v>
      </c>
      <c r="C276" s="30" t="inlineStr">
        <is>
          <t>Biolisin Sirup</t>
        </is>
      </c>
      <c r="D276" s="35" t="inlineStr">
        <is>
          <t>Botol</t>
        </is>
      </c>
      <c r="E276" s="22" t="n">
        <v>0</v>
      </c>
      <c r="F276" s="58" t="n"/>
      <c r="G276" s="24">
        <f>E276+F276</f>
        <v/>
      </c>
      <c r="H276" s="23" t="n">
        <v>0</v>
      </c>
      <c r="I276" s="25">
        <f>G276-H276</f>
        <v/>
      </c>
      <c r="J276" s="26">
        <f>((H276*(20/100))+H276)-I276</f>
        <v/>
      </c>
      <c r="K276" s="26">
        <f>J276</f>
        <v/>
      </c>
      <c r="L276" s="61" t="n"/>
    </row>
    <row r="277" ht="15.75" customFormat="1" customHeight="1" s="34">
      <c r="B277" s="72" t="n">
        <v>252</v>
      </c>
      <c r="C277" s="30" t="inlineStr">
        <is>
          <t>Beneuron</t>
        </is>
      </c>
      <c r="D277" s="35" t="inlineStr">
        <is>
          <t>Tablet</t>
        </is>
      </c>
      <c r="E277" s="22" t="n">
        <v>0</v>
      </c>
      <c r="F277" s="58" t="n"/>
      <c r="G277" s="24">
        <f>E277+F277</f>
        <v/>
      </c>
      <c r="H277" s="23" t="n">
        <v>0</v>
      </c>
      <c r="I277" s="25">
        <f>G277-H277</f>
        <v/>
      </c>
      <c r="J277" s="26">
        <f>((H277*(20/100))+H277)-I277</f>
        <v/>
      </c>
      <c r="K277" s="26">
        <f>J277</f>
        <v/>
      </c>
      <c r="L277" s="61" t="n"/>
    </row>
    <row r="278" ht="15" customFormat="1" customHeight="1" s="34">
      <c r="B278" s="72" t="n">
        <v>253</v>
      </c>
      <c r="C278" s="30" t="inlineStr">
        <is>
          <t>Berzin</t>
        </is>
      </c>
      <c r="D278" s="35" t="inlineStr">
        <is>
          <t>Tablet</t>
        </is>
      </c>
      <c r="E278" s="22" t="n">
        <v>0</v>
      </c>
      <c r="F278" s="58" t="n"/>
      <c r="G278" s="24" t="n"/>
      <c r="H278" s="23" t="n">
        <v>0</v>
      </c>
      <c r="I278" s="25">
        <f>G278-H278</f>
        <v/>
      </c>
      <c r="J278" s="26" t="n"/>
      <c r="K278" s="26" t="n"/>
      <c r="L278" s="61" t="n"/>
    </row>
    <row r="279" ht="15" customFormat="1" customHeight="1" s="34">
      <c r="B279" s="72" t="n">
        <v>254</v>
      </c>
      <c r="C279" s="30" t="inlineStr">
        <is>
          <t>Inhavent</t>
        </is>
      </c>
      <c r="D279" s="35" t="inlineStr">
        <is>
          <t>Ampul</t>
        </is>
      </c>
      <c r="E279" s="22" t="n">
        <v>0</v>
      </c>
      <c r="F279" s="58" t="n"/>
      <c r="G279" s="24">
        <f>E279+F279</f>
        <v/>
      </c>
      <c r="H279" s="23" t="n">
        <v>0</v>
      </c>
      <c r="I279" s="25">
        <f>G279-H279</f>
        <v/>
      </c>
      <c r="J279" s="26">
        <f>((H279*(20/100))+H279)-I279</f>
        <v/>
      </c>
      <c r="K279" s="26">
        <f>J279</f>
        <v/>
      </c>
      <c r="L279" s="61" t="n"/>
    </row>
    <row r="280" ht="15" customFormat="1" customHeight="1" s="34">
      <c r="B280" s="72" t="n">
        <v>255</v>
      </c>
      <c r="C280" s="30" t="inlineStr">
        <is>
          <t>Megazink</t>
        </is>
      </c>
      <c r="D280" s="35" t="inlineStr">
        <is>
          <t>Kaplet</t>
        </is>
      </c>
      <c r="E280" s="22" t="n">
        <v>0</v>
      </c>
      <c r="F280" s="58" t="n"/>
      <c r="G280" s="24">
        <f>E280+F280</f>
        <v/>
      </c>
      <c r="H280" s="23" t="n">
        <v>0</v>
      </c>
      <c r="I280" s="25">
        <f>G280-H280</f>
        <v/>
      </c>
      <c r="J280" s="26">
        <f>((H280*(20/100))+H280)-I280</f>
        <v/>
      </c>
      <c r="K280" s="26">
        <f>J280</f>
        <v/>
      </c>
      <c r="L280" s="61" t="n"/>
    </row>
    <row r="281" ht="15.75" customFormat="1" customHeight="1" s="40">
      <c r="B281" s="72" t="n">
        <v>256</v>
      </c>
      <c r="C281" s="30" t="inlineStr">
        <is>
          <t>Nufed</t>
        </is>
      </c>
      <c r="D281" s="35" t="inlineStr">
        <is>
          <t>Tablet</t>
        </is>
      </c>
      <c r="E281" s="22" t="n">
        <v>0</v>
      </c>
      <c r="F281" s="58" t="n"/>
      <c r="G281" s="24">
        <f>E281+F281</f>
        <v/>
      </c>
      <c r="H281" s="23" t="n">
        <v>0</v>
      </c>
      <c r="I281" s="25">
        <f>G281-H281</f>
        <v/>
      </c>
      <c r="J281" s="26">
        <f>((H281*(20/100))+H281)-I281</f>
        <v/>
      </c>
      <c r="K281" s="26">
        <f>J281</f>
        <v/>
      </c>
      <c r="L281" s="61" t="n"/>
    </row>
    <row r="282" ht="15" customFormat="1" customHeight="1" s="40">
      <c r="B282" s="72" t="n">
        <v>257</v>
      </c>
      <c r="C282" s="30" t="inlineStr">
        <is>
          <t>Omberzol</t>
        </is>
      </c>
      <c r="D282" s="35" t="inlineStr">
        <is>
          <t>Kapsul</t>
        </is>
      </c>
      <c r="E282" s="22" t="n">
        <v>0</v>
      </c>
      <c r="F282" s="58" t="n"/>
      <c r="G282" s="24" t="n"/>
      <c r="H282" s="23" t="n">
        <v>0</v>
      </c>
      <c r="I282" s="25">
        <f>G282-H282</f>
        <v/>
      </c>
      <c r="J282" s="26" t="n"/>
      <c r="K282" s="26" t="n"/>
      <c r="L282" s="61" t="n"/>
    </row>
    <row r="283" ht="15" customFormat="1" customHeight="1" s="34">
      <c r="B283" s="72" t="n">
        <v>258</v>
      </c>
      <c r="C283" s="30" t="inlineStr">
        <is>
          <t>Vitalong C</t>
        </is>
      </c>
      <c r="D283" s="35" t="inlineStr">
        <is>
          <t>Tablet</t>
        </is>
      </c>
      <c r="E283" s="22" t="n">
        <v>0</v>
      </c>
      <c r="F283" s="58" t="n"/>
      <c r="G283" s="24">
        <f>E283+F283</f>
        <v/>
      </c>
      <c r="H283" s="23" t="n">
        <v>0</v>
      </c>
      <c r="I283" s="25">
        <f>G283-H283</f>
        <v/>
      </c>
      <c r="J283" s="26">
        <f>((H283*(20/100))+H283)-I283</f>
        <v/>
      </c>
      <c r="K283" s="26">
        <f>J283</f>
        <v/>
      </c>
      <c r="L283" s="61" t="n"/>
    </row>
    <row r="284" ht="15.75" customFormat="1" customHeight="1" s="2">
      <c r="B284" s="72" t="n">
        <v>259</v>
      </c>
      <c r="C284" s="30" t="inlineStr">
        <is>
          <t>Vitalysin Syrup 60 Ml</t>
        </is>
      </c>
      <c r="D284" s="35" t="inlineStr">
        <is>
          <t>Botol</t>
        </is>
      </c>
      <c r="E284" s="22" t="n">
        <v>0</v>
      </c>
      <c r="F284" s="58" t="n"/>
      <c r="G284" s="24">
        <f>E284+F284</f>
        <v/>
      </c>
      <c r="H284" s="23" t="n">
        <v>0</v>
      </c>
      <c r="I284" s="25">
        <f>G284-H284</f>
        <v/>
      </c>
      <c r="J284" s="26">
        <f>((H284*(20/100))+H284)-I284</f>
        <v/>
      </c>
      <c r="K284" s="26">
        <f>J284</f>
        <v/>
      </c>
      <c r="L284" s="61" t="n"/>
    </row>
    <row r="285" ht="15.75" customFormat="1" customHeight="1" s="2">
      <c r="B285" s="72" t="n">
        <v>260</v>
      </c>
      <c r="C285" s="30" t="inlineStr">
        <is>
          <t>Endo Wound Dressing 5cmx5m</t>
        </is>
      </c>
      <c r="D285" s="35" t="inlineStr">
        <is>
          <t>ktk</t>
        </is>
      </c>
      <c r="E285" s="22" t="n">
        <v>0</v>
      </c>
      <c r="F285" s="58" t="n"/>
      <c r="G285" s="24">
        <f>E285+F285</f>
        <v/>
      </c>
      <c r="H285" s="23" t="n">
        <v>0</v>
      </c>
      <c r="I285" s="25">
        <f>G285-H285</f>
        <v/>
      </c>
      <c r="J285" s="26">
        <f>((H285*(20/100))+H285)-I285</f>
        <v/>
      </c>
      <c r="K285" s="26">
        <f>J285</f>
        <v/>
      </c>
      <c r="L285" s="61" t="n"/>
      <c r="O285" s="2" t="inlineStr">
        <is>
          <t xml:space="preserve"> </t>
        </is>
      </c>
    </row>
    <row r="286" ht="15.75" customFormat="1" customHeight="1" s="34">
      <c r="B286" s="72" t="n">
        <v>261</v>
      </c>
      <c r="C286" s="30" t="inlineStr">
        <is>
          <t>Etanol 70% 100ml</t>
        </is>
      </c>
      <c r="D286" s="35" t="inlineStr">
        <is>
          <t>Botol</t>
        </is>
      </c>
      <c r="E286" s="22" t="n">
        <v>0</v>
      </c>
      <c r="F286" s="58" t="n"/>
      <c r="G286" s="24">
        <f>E286+F286</f>
        <v/>
      </c>
      <c r="H286" s="23" t="n">
        <v>0</v>
      </c>
      <c r="I286" s="25">
        <f>G286-H286</f>
        <v/>
      </c>
      <c r="J286" s="26">
        <f>((H286*(20/100))+H286)-I286</f>
        <v/>
      </c>
      <c r="K286" s="26">
        <f>J286</f>
        <v/>
      </c>
      <c r="L286" s="61" t="n"/>
    </row>
    <row r="287" ht="15.75" customFormat="1" customHeight="1" s="34">
      <c r="B287" s="72" t="n">
        <v>262</v>
      </c>
      <c r="C287" s="30" t="inlineStr">
        <is>
          <t>Lapisiv</t>
        </is>
      </c>
      <c r="D287" s="44" t="inlineStr">
        <is>
          <t>Tablet</t>
        </is>
      </c>
      <c r="E287" s="22" t="n">
        <v>0</v>
      </c>
      <c r="F287" s="63" t="n"/>
      <c r="G287" s="24">
        <f>E287+F287</f>
        <v/>
      </c>
      <c r="H287" s="23" t="n">
        <v>0</v>
      </c>
      <c r="I287" s="25">
        <f>G287-H287</f>
        <v/>
      </c>
      <c r="J287" s="26">
        <f>((H287*(20/100))+H287)-I287</f>
        <v/>
      </c>
      <c r="K287" s="26">
        <f>J287</f>
        <v/>
      </c>
      <c r="L287" s="61" t="n"/>
    </row>
    <row r="288" ht="15.75" customFormat="1" customHeight="1" s="34">
      <c r="B288" s="72" t="n">
        <v>263</v>
      </c>
      <c r="C288" s="30" t="inlineStr">
        <is>
          <t>Mersibion injeksi</t>
        </is>
      </c>
      <c r="D288" s="44" t="inlineStr">
        <is>
          <t>Ampul</t>
        </is>
      </c>
      <c r="E288" s="22" t="n">
        <v>0</v>
      </c>
      <c r="F288" s="63" t="n"/>
      <c r="G288" s="24">
        <f>E288+F288</f>
        <v/>
      </c>
      <c r="H288" s="23" t="n">
        <v>0</v>
      </c>
      <c r="I288" s="25">
        <f>G288-H288</f>
        <v/>
      </c>
      <c r="J288" s="26">
        <f>((H288*(20/100))+H288)-I288</f>
        <v/>
      </c>
      <c r="K288" s="26">
        <f>J288</f>
        <v/>
      </c>
      <c r="L288" s="61" t="n"/>
    </row>
    <row r="289" ht="15.75" customFormat="1" customHeight="1" s="34">
      <c r="B289" s="72" t="n">
        <v>264</v>
      </c>
      <c r="C289" s="30" t="inlineStr">
        <is>
          <t>Fluocuinolon Kapsul</t>
        </is>
      </c>
      <c r="D289" s="44" t="inlineStr">
        <is>
          <t>Tablet</t>
        </is>
      </c>
      <c r="E289" s="22" t="n">
        <v>0</v>
      </c>
      <c r="F289" s="63" t="n"/>
      <c r="G289" s="24">
        <f>E289+F289</f>
        <v/>
      </c>
      <c r="H289" s="23" t="n">
        <v>0</v>
      </c>
      <c r="I289" s="25">
        <f>G289-H289</f>
        <v/>
      </c>
      <c r="J289" s="26">
        <f>((H289*(20/100))+H289)-I289</f>
        <v/>
      </c>
      <c r="K289" s="26">
        <f>J289</f>
        <v/>
      </c>
      <c r="L289" s="61" t="n"/>
    </row>
    <row r="290" ht="15.75" customFormat="1" customHeight="1" s="34">
      <c r="B290" s="66" t="n"/>
      <c r="C290" s="67" t="inlineStr">
        <is>
          <t>VAKSIN RUTIN</t>
        </is>
      </c>
      <c r="D290" s="77" t="n"/>
      <c r="E290" s="22" t="n">
        <v>0</v>
      </c>
      <c r="F290" s="78" t="n"/>
      <c r="G290" s="79" t="n"/>
      <c r="H290" s="23" t="n">
        <v>0</v>
      </c>
      <c r="I290" s="25">
        <f>G290-H290</f>
        <v/>
      </c>
      <c r="J290" s="79" t="n"/>
      <c r="K290" s="79" t="n"/>
      <c r="L290" s="80" t="n"/>
    </row>
    <row r="291" ht="15" customFormat="1" customHeight="1" s="34">
      <c r="B291" s="72" t="n">
        <v>265</v>
      </c>
      <c r="C291" s="82" t="inlineStr">
        <is>
          <t>BCG</t>
        </is>
      </c>
      <c r="D291" s="75" t="inlineStr">
        <is>
          <t>Ampul</t>
        </is>
      </c>
      <c r="E291" s="22" t="n">
        <v>0</v>
      </c>
      <c r="F291" s="58" t="n"/>
      <c r="G291" s="24">
        <f>E291+F291</f>
        <v/>
      </c>
      <c r="H291" s="23" t="n">
        <v>0</v>
      </c>
      <c r="I291" s="25">
        <f>G291-H291</f>
        <v/>
      </c>
      <c r="J291" s="26">
        <f>((H291*(20/100))+H291)-I291</f>
        <v/>
      </c>
      <c r="K291" s="26">
        <f>J291</f>
        <v/>
      </c>
      <c r="L291" s="61" t="n"/>
    </row>
    <row r="292" ht="15" customFormat="1" customHeight="1" s="2">
      <c r="B292" s="72" t="n">
        <v>266</v>
      </c>
      <c r="C292" s="82" t="inlineStr">
        <is>
          <t>DPT-HB Combo</t>
        </is>
      </c>
      <c r="D292" s="75" t="inlineStr">
        <is>
          <t>Ampul</t>
        </is>
      </c>
      <c r="E292" s="22" t="n">
        <v>0</v>
      </c>
      <c r="F292" s="58" t="n"/>
      <c r="G292" s="24">
        <f>E292+F292</f>
        <v/>
      </c>
      <c r="H292" s="23" t="n">
        <v>0</v>
      </c>
      <c r="I292" s="25">
        <f>G292-H292</f>
        <v/>
      </c>
      <c r="J292" s="26">
        <f>((H292*(20/100))+H292)-I292</f>
        <v/>
      </c>
      <c r="K292" s="26">
        <f>J292</f>
        <v/>
      </c>
      <c r="L292" s="61" t="n"/>
    </row>
    <row r="293" ht="15" customFormat="1" customHeight="1" s="2">
      <c r="B293" s="72" t="n">
        <v>267</v>
      </c>
      <c r="C293" s="82" t="inlineStr">
        <is>
          <t>Polio</t>
        </is>
      </c>
      <c r="D293" s="75" t="inlineStr">
        <is>
          <t>Ampul</t>
        </is>
      </c>
      <c r="E293" s="22" t="n">
        <v>0</v>
      </c>
      <c r="F293" s="58" t="n"/>
      <c r="G293" s="24">
        <f>E293+F293</f>
        <v/>
      </c>
      <c r="H293" s="23" t="n">
        <v>0</v>
      </c>
      <c r="I293" s="25">
        <f>G293-H293</f>
        <v/>
      </c>
      <c r="J293" s="26">
        <f>((H293*(20/100))+H293)-I293</f>
        <v/>
      </c>
      <c r="K293" s="26">
        <f>J293</f>
        <v/>
      </c>
      <c r="L293" s="61" t="n"/>
    </row>
    <row r="294" ht="15.75" customFormat="1" customHeight="1" s="2">
      <c r="B294" s="72" t="n">
        <v>268</v>
      </c>
      <c r="C294" s="82" t="inlineStr">
        <is>
          <t>Campak + Pelarut Campak</t>
        </is>
      </c>
      <c r="D294" s="75" t="inlineStr">
        <is>
          <t>Ampul</t>
        </is>
      </c>
      <c r="E294" s="22" t="n">
        <v>0</v>
      </c>
      <c r="F294" s="58" t="n"/>
      <c r="G294" s="24">
        <f>E294+F294</f>
        <v/>
      </c>
      <c r="H294" s="23" t="n">
        <v>0</v>
      </c>
      <c r="I294" s="25">
        <f>G294-H294</f>
        <v/>
      </c>
      <c r="J294" s="26">
        <f>((H294*(20/100))+H294)-I294</f>
        <v/>
      </c>
      <c r="K294" s="26">
        <f>J294</f>
        <v/>
      </c>
      <c r="L294" s="61" t="n"/>
    </row>
    <row r="295" ht="15.75" customFormat="1" customHeight="1" s="2">
      <c r="B295" s="72" t="n">
        <v>269</v>
      </c>
      <c r="C295" s="74" t="inlineStr">
        <is>
          <t>TT/TD</t>
        </is>
      </c>
      <c r="D295" s="75" t="inlineStr">
        <is>
          <t>Ampul</t>
        </is>
      </c>
      <c r="E295" s="22" t="n">
        <v>0</v>
      </c>
      <c r="F295" s="58" t="n"/>
      <c r="G295" s="24">
        <f>E295+F295</f>
        <v/>
      </c>
      <c r="H295" s="23" t="n">
        <v>0</v>
      </c>
      <c r="I295" s="25">
        <f>G295-H295</f>
        <v/>
      </c>
      <c r="J295" s="26">
        <f>((H295*(20/100))+H295)-I295</f>
        <v/>
      </c>
      <c r="K295" s="26">
        <f>J295</f>
        <v/>
      </c>
      <c r="L295" s="61" t="n"/>
    </row>
    <row r="296" ht="15.75" customFormat="1" customHeight="1" s="2">
      <c r="B296" s="72" t="n">
        <v>270</v>
      </c>
      <c r="C296" s="74" t="inlineStr">
        <is>
          <t>IPV</t>
        </is>
      </c>
      <c r="D296" s="75" t="inlineStr">
        <is>
          <t>Ampul</t>
        </is>
      </c>
      <c r="E296" s="22" t="n">
        <v>0</v>
      </c>
      <c r="F296" s="58" t="n"/>
      <c r="G296" s="24">
        <f>E296+F296</f>
        <v/>
      </c>
      <c r="H296" s="23" t="n">
        <v>0</v>
      </c>
      <c r="I296" s="25">
        <f>G296-H296</f>
        <v/>
      </c>
      <c r="J296" s="26">
        <f>((H296*(20/100))+H296)-I296</f>
        <v/>
      </c>
      <c r="K296" s="26">
        <f>J296</f>
        <v/>
      </c>
      <c r="L296" s="61" t="n"/>
    </row>
    <row r="297" ht="15.75" customFormat="1" customHeight="1" s="2">
      <c r="B297" s="72" t="n">
        <v>271</v>
      </c>
      <c r="C297" s="83" t="inlineStr">
        <is>
          <t>HB Uniject</t>
        </is>
      </c>
      <c r="D297" s="84" t="inlineStr">
        <is>
          <t>Ampul</t>
        </is>
      </c>
      <c r="E297" s="22" t="n">
        <v>0</v>
      </c>
      <c r="F297" s="85" t="n"/>
      <c r="G297" s="86">
        <f>E297+F297</f>
        <v/>
      </c>
      <c r="H297" s="23" t="n">
        <v>0</v>
      </c>
      <c r="I297" s="25">
        <f>G297-H297</f>
        <v/>
      </c>
      <c r="J297" s="87">
        <f>((H297*(20/100))+H297)-I297</f>
        <v/>
      </c>
      <c r="K297" s="87">
        <f>J297</f>
        <v/>
      </c>
      <c r="L297" s="88" t="n"/>
    </row>
    <row r="298" ht="15.75" customFormat="1" customHeight="1" s="2">
      <c r="B298" s="72" t="n">
        <v>272</v>
      </c>
      <c r="C298" s="89" t="inlineStr">
        <is>
          <t>ROTAN VIRUS</t>
        </is>
      </c>
      <c r="D298" s="90" t="inlineStr">
        <is>
          <t>Ampul</t>
        </is>
      </c>
      <c r="E298" s="22" t="n">
        <v>0</v>
      </c>
      <c r="F298" s="81" t="n"/>
      <c r="G298" s="91">
        <f>E298+F298</f>
        <v/>
      </c>
      <c r="H298" s="23" t="n">
        <v>0</v>
      </c>
      <c r="I298" s="25">
        <f>G298-H298</f>
        <v/>
      </c>
      <c r="J298" s="92">
        <f>((H298*(20/100))+H298)-I298</f>
        <v/>
      </c>
      <c r="K298" s="92">
        <f>J298</f>
        <v/>
      </c>
      <c r="L298" s="93" t="n"/>
      <c r="N298" s="94" t="n"/>
    </row>
    <row r="299" ht="15.75" customFormat="1" customHeight="1" s="2">
      <c r="B299" s="72" t="n"/>
      <c r="C299" s="95" t="n"/>
      <c r="D299" s="96" t="n"/>
      <c r="E299" s="22" t="n">
        <v>0</v>
      </c>
      <c r="F299" s="97" t="n"/>
      <c r="G299" s="98" t="n"/>
      <c r="H299" s="23" t="n">
        <v>0</v>
      </c>
      <c r="I299" s="25">
        <f>G299-H299</f>
        <v/>
      </c>
      <c r="J299" s="98" t="n"/>
      <c r="K299" s="99" t="n"/>
      <c r="L299" s="100" t="n"/>
      <c r="N299" s="94" t="n"/>
    </row>
    <row r="300" ht="15.75" customFormat="1" customHeight="1" s="2">
      <c r="B300" s="101" t="n"/>
      <c r="C300" s="102" t="inlineStr">
        <is>
          <t>BMHP GIGI</t>
        </is>
      </c>
      <c r="D300" s="103" t="n"/>
      <c r="E300" s="22" t="n">
        <v>0</v>
      </c>
      <c r="F300" s="104" t="n"/>
      <c r="G300" s="105" t="n"/>
      <c r="H300" s="23" t="n">
        <v>0</v>
      </c>
      <c r="I300" s="25">
        <f>G300-H300</f>
        <v/>
      </c>
      <c r="J300" s="101" t="n"/>
      <c r="K300" s="101" t="n"/>
      <c r="L300" s="106" t="n"/>
    </row>
    <row r="301" ht="15.75" customFormat="1" customHeight="1" s="2">
      <c r="B301" s="107" t="n">
        <v>273</v>
      </c>
      <c r="C301" s="108" t="inlineStr">
        <is>
          <t>ONEMED DENTAL KIT</t>
        </is>
      </c>
      <c r="D301" s="109" t="inlineStr">
        <is>
          <t>Set</t>
        </is>
      </c>
      <c r="E301" s="22" t="n">
        <v>0</v>
      </c>
      <c r="F301" s="110" t="n"/>
      <c r="G301" s="111">
        <f>E301+F301</f>
        <v/>
      </c>
      <c r="H301" s="23" t="n">
        <v>0</v>
      </c>
      <c r="I301" s="25">
        <f>G301-H301</f>
        <v/>
      </c>
      <c r="J301" s="112">
        <f>((H301*(20/100))+H301)-I301</f>
        <v/>
      </c>
      <c r="K301" s="112">
        <f>J301</f>
        <v/>
      </c>
      <c r="L301" s="100" t="n"/>
    </row>
    <row r="302" ht="15.75" customFormat="1" customHeight="1" s="2">
      <c r="B302" s="107" t="n">
        <v>274</v>
      </c>
      <c r="C302" s="108" t="inlineStr">
        <is>
          <t>ONEMED KAPAS DENTAL 8 MM</t>
        </is>
      </c>
      <c r="D302" s="109" t="inlineStr">
        <is>
          <t>Pak</t>
        </is>
      </c>
      <c r="E302" s="22" t="n">
        <v>0</v>
      </c>
      <c r="F302" s="110" t="n"/>
      <c r="G302" s="111">
        <f>E302+F302</f>
        <v/>
      </c>
      <c r="H302" s="23" t="n">
        <v>0</v>
      </c>
      <c r="I302" s="25">
        <f>G302-H302</f>
        <v/>
      </c>
      <c r="J302" s="112">
        <f>((H302*(20/100))+H302)-I302</f>
        <v/>
      </c>
      <c r="K302" s="112">
        <f>J302</f>
        <v/>
      </c>
      <c r="L302" s="100" t="n"/>
    </row>
    <row r="303" ht="15.75" customFormat="1" customHeight="1" s="2">
      <c r="B303" s="107" t="n">
        <v>275</v>
      </c>
      <c r="C303" s="108" t="inlineStr">
        <is>
          <t>ONEMED DENTAL BIB TALI</t>
        </is>
      </c>
      <c r="D303" s="109" t="inlineStr">
        <is>
          <t>Pcs</t>
        </is>
      </c>
      <c r="E303" s="22" t="n">
        <v>0</v>
      </c>
      <c r="F303" s="110" t="n"/>
      <c r="G303" s="111">
        <f>E303+F303</f>
        <v/>
      </c>
      <c r="H303" s="23" t="n">
        <v>0</v>
      </c>
      <c r="I303" s="25">
        <f>G303-H303</f>
        <v/>
      </c>
      <c r="J303" s="112">
        <f>((H303*(20/100))+H303)-I303</f>
        <v/>
      </c>
      <c r="K303" s="112">
        <f>J303</f>
        <v/>
      </c>
      <c r="L303" s="100" t="n"/>
    </row>
    <row r="304" ht="15.75" customFormat="1" customHeight="1" s="2">
      <c r="B304" s="107" t="n">
        <v>276</v>
      </c>
      <c r="C304" s="108" t="inlineStr">
        <is>
          <t>ONEMED CAWAN GIGI PLASTIK</t>
        </is>
      </c>
      <c r="D304" s="109" t="inlineStr">
        <is>
          <t>Pcs</t>
        </is>
      </c>
      <c r="E304" s="22" t="n">
        <v>0</v>
      </c>
      <c r="F304" s="110" t="n"/>
      <c r="G304" s="111">
        <f>E304+F304</f>
        <v/>
      </c>
      <c r="H304" s="23" t="n">
        <v>0</v>
      </c>
      <c r="I304" s="25">
        <f>G304-H304</f>
        <v/>
      </c>
      <c r="J304" s="112">
        <f>((H304*(20/100))+H304)-I304</f>
        <v/>
      </c>
      <c r="K304" s="112">
        <f>J304</f>
        <v/>
      </c>
      <c r="L304" s="100" t="n"/>
    </row>
    <row r="305" ht="15.75" customFormat="1" customHeight="1" s="2">
      <c r="B305" s="107" t="n">
        <v>277</v>
      </c>
      <c r="C305" s="108" t="inlineStr">
        <is>
          <t>ONEMED MICRO BRUSH REGULER 2,5 MM</t>
        </is>
      </c>
      <c r="D305" s="109" t="inlineStr">
        <is>
          <t>Pak</t>
        </is>
      </c>
      <c r="E305" s="22" t="n">
        <v>0</v>
      </c>
      <c r="F305" s="110" t="n"/>
      <c r="G305" s="111">
        <f>E305+F305</f>
        <v/>
      </c>
      <c r="H305" s="23" t="n">
        <v>0</v>
      </c>
      <c r="I305" s="25">
        <f>G305-H305</f>
        <v/>
      </c>
      <c r="J305" s="112">
        <f>((H305*(20/100))+H305)-I305</f>
        <v/>
      </c>
      <c r="K305" s="112">
        <f>J305</f>
        <v/>
      </c>
      <c r="L305" s="100" t="n"/>
    </row>
    <row r="306" ht="15.75" customFormat="1" customHeight="1" s="2">
      <c r="B306" s="107" t="n">
        <v>278</v>
      </c>
      <c r="C306" s="108" t="inlineStr">
        <is>
          <t>ONEMED PLAQUE DISCLOSING 10 ML</t>
        </is>
      </c>
      <c r="D306" s="109" t="inlineStr">
        <is>
          <t>Botol</t>
        </is>
      </c>
      <c r="E306" s="22" t="n">
        <v>0</v>
      </c>
      <c r="F306" s="110" t="n"/>
      <c r="G306" s="111">
        <f>E306+F306</f>
        <v/>
      </c>
      <c r="H306" s="23" t="n">
        <v>0</v>
      </c>
      <c r="I306" s="25">
        <f>G306-H306</f>
        <v/>
      </c>
      <c r="J306" s="112">
        <f>((H306*(20/100))+H306)-I306</f>
        <v/>
      </c>
      <c r="K306" s="112">
        <f>J306</f>
        <v/>
      </c>
      <c r="L306" s="100" t="n"/>
    </row>
    <row r="307" ht="15.75" customFormat="1" customHeight="1" s="2">
      <c r="B307" s="107" t="n">
        <v>279</v>
      </c>
      <c r="C307" s="108" t="inlineStr">
        <is>
          <t>SODIUM FLUORIDA 5% (Fluor Varnish)</t>
        </is>
      </c>
      <c r="D307" s="109" t="inlineStr">
        <is>
          <t>Pot</t>
        </is>
      </c>
      <c r="E307" s="22" t="n">
        <v>0</v>
      </c>
      <c r="F307" s="113" t="n"/>
      <c r="G307" s="111">
        <f>E307+F307</f>
        <v/>
      </c>
      <c r="H307" s="23" t="n">
        <v>0</v>
      </c>
      <c r="I307" s="25">
        <f>G307-H307</f>
        <v/>
      </c>
      <c r="J307" s="112">
        <f>((H307*(20/100))+H307)-I307</f>
        <v/>
      </c>
      <c r="K307" s="112">
        <f>J307</f>
        <v/>
      </c>
      <c r="L307" s="100" t="n"/>
    </row>
    <row r="308" ht="15.75" customFormat="1" customHeight="1" s="2">
      <c r="B308" s="107" t="n"/>
      <c r="C308" s="108" t="n"/>
      <c r="D308" s="109" t="n"/>
      <c r="E308" s="22" t="n"/>
      <c r="F308" s="107" t="n"/>
      <c r="G308" s="107" t="n"/>
      <c r="H308" s="107" t="n"/>
      <c r="I308" s="107" t="n"/>
      <c r="J308" s="107" t="n"/>
      <c r="K308" s="107" t="n"/>
      <c r="L308" s="108" t="n"/>
    </row>
    <row r="309" ht="15.75" customFormat="1" customHeight="1" s="2">
      <c r="B309" s="114" t="n"/>
      <c r="C309" s="115" t="n"/>
      <c r="D309" s="116" t="n"/>
      <c r="E309" s="114" t="n"/>
      <c r="F309" s="114" t="n"/>
      <c r="G309" s="114" t="n"/>
      <c r="H309" s="114" t="n"/>
      <c r="I309" s="114" t="n"/>
      <c r="J309" s="114" t="n"/>
      <c r="K309" s="114" t="n"/>
      <c r="L309" s="115" t="n"/>
    </row>
    <row r="310" ht="15.75" customFormat="1" customHeight="1" s="34" thickBot="1">
      <c r="B310" s="3" t="n"/>
      <c r="D310" s="4" t="n"/>
      <c r="E310" s="3" t="n"/>
      <c r="F310" s="3" t="n"/>
      <c r="G310" s="3" t="n"/>
      <c r="H310" s="3" t="n"/>
      <c r="I310" s="3" t="n"/>
      <c r="J310" s="3" t="n"/>
      <c r="K310" s="3" t="n"/>
    </row>
    <row r="311" ht="30" customFormat="1" customHeight="1" s="2" thickBot="1">
      <c r="B311" s="3" t="n"/>
      <c r="C311" s="117" t="inlineStr">
        <is>
          <t>JUMLAH KUNJUNGAN RESEP</t>
        </is>
      </c>
      <c r="D311" s="118" t="inlineStr">
        <is>
          <t>UMUM</t>
        </is>
      </c>
      <c r="E311" s="118" t="inlineStr">
        <is>
          <t>ASKES</t>
        </is>
      </c>
      <c r="F311" s="118" t="inlineStr">
        <is>
          <t>BPJS</t>
        </is>
      </c>
      <c r="G311" s="118" t="inlineStr">
        <is>
          <t>GRATIS</t>
        </is>
      </c>
      <c r="H311" s="118" t="inlineStr">
        <is>
          <t>JAMKESMAS</t>
        </is>
      </c>
      <c r="I311" s="118" t="inlineStr">
        <is>
          <t>JUMLAH</t>
        </is>
      </c>
      <c r="J311" s="3" t="n"/>
      <c r="K311" s="3" t="n"/>
    </row>
    <row r="312" ht="15.95" customFormat="1" customHeight="1" s="2" thickBot="1">
      <c r="B312" s="3" t="n"/>
      <c r="C312" s="137" t="n"/>
      <c r="D312" s="120" t="n">
        <v>0</v>
      </c>
      <c r="E312" s="120" t="n">
        <v>0</v>
      </c>
      <c r="F312" s="120" t="n">
        <v>0</v>
      </c>
      <c r="G312" s="120" t="n"/>
      <c r="H312" s="120" t="n"/>
      <c r="I312" s="120" t="n">
        <v>0</v>
      </c>
      <c r="J312" s="3" t="n"/>
      <c r="K312" s="3" t="n"/>
    </row>
    <row r="313" ht="15" customFormat="1" customHeight="1" s="34">
      <c r="B313" s="3" t="n"/>
      <c r="D313" s="4" t="n"/>
      <c r="E313" s="3" t="n"/>
      <c r="F313" s="3" t="n"/>
      <c r="G313" s="3" t="n"/>
      <c r="H313" s="3" t="n"/>
      <c r="I313" s="3" t="n"/>
      <c r="J313" s="3" t="n"/>
      <c r="K313" s="3" t="n"/>
    </row>
    <row r="314" ht="15.75" customFormat="1" customHeight="1" s="2">
      <c r="B314" s="129" t="n"/>
      <c r="C314" s="122" t="n"/>
      <c r="D314" s="125" t="n"/>
      <c r="E314" s="129" t="n"/>
      <c r="F314" s="129" t="n"/>
      <c r="G314" s="129" t="n"/>
      <c r="H314" s="129" t="n"/>
      <c r="I314" s="129" t="n"/>
      <c r="J314" s="129" t="n"/>
      <c r="K314" s="129" t="n"/>
      <c r="L314" s="122" t="n"/>
    </row>
    <row r="315" ht="15.75" customFormat="1" customHeight="1" s="126">
      <c r="B315" s="124" t="inlineStr">
        <is>
          <t>Mengetahui / Menyetujui</t>
        </is>
      </c>
      <c r="D315" s="124" t="inlineStr">
        <is>
          <t>Yang Menyerahkan ,</t>
        </is>
      </c>
      <c r="G315" s="129" t="n"/>
      <c r="H315" s="125" t="inlineStr">
        <is>
          <t>Yang Meminta ,</t>
        </is>
      </c>
      <c r="J315" s="129" t="n"/>
      <c r="K315" s="125" t="inlineStr">
        <is>
          <t>Yang Membuat ,</t>
        </is>
      </c>
    </row>
    <row r="316" ht="15" customFormat="1" customHeight="1" s="34">
      <c r="B316" s="124" t="inlineStr">
        <is>
          <t>Kepala Dinas Kesehatan Kab.Konawe</t>
        </is>
      </c>
      <c r="D316" s="124" t="inlineStr">
        <is>
          <t xml:space="preserve">Kepala Instalasi Farmasi Kab.Konawe </t>
        </is>
      </c>
      <c r="G316" s="129" t="n"/>
      <c r="H316" s="125" t="inlineStr">
        <is>
          <t>Kepala Puskesmas</t>
        </is>
      </c>
      <c r="J316" s="129" t="n"/>
      <c r="K316" s="125" t="inlineStr">
        <is>
          <t>Petugas Puskesmas</t>
        </is>
      </c>
    </row>
    <row r="317" ht="15.75" customFormat="1" customHeight="1" s="2">
      <c r="B317" s="129" t="n"/>
      <c r="C317" s="122" t="n"/>
      <c r="D317" s="125" t="n"/>
      <c r="E317" s="129" t="n"/>
      <c r="F317" s="129" t="n"/>
      <c r="G317" s="129" t="n"/>
      <c r="H317" s="129" t="n"/>
      <c r="I317" s="129" t="n"/>
      <c r="J317" s="129" t="n"/>
      <c r="K317" s="129" t="n"/>
      <c r="L317" s="122" t="n"/>
    </row>
    <row r="318" ht="15.75" customFormat="1" customHeight="1" s="34">
      <c r="B318" s="129" t="n"/>
      <c r="C318" s="122" t="n"/>
      <c r="D318" s="125" t="n"/>
      <c r="E318" s="129" t="n"/>
      <c r="F318" s="129" t="n"/>
      <c r="G318" s="129" t="n"/>
      <c r="H318" s="129" t="n"/>
      <c r="I318" s="129" t="n"/>
      <c r="J318" s="129" t="n"/>
      <c r="K318" s="129" t="n"/>
      <c r="L318" s="122" t="n"/>
    </row>
    <row r="319" ht="15.75" customFormat="1" customHeight="1" s="34">
      <c r="B319" s="129" t="n"/>
      <c r="C319" s="122" t="n"/>
      <c r="D319" s="125" t="n"/>
      <c r="E319" s="129" t="n"/>
      <c r="F319" s="129" t="n"/>
      <c r="G319" s="129" t="n"/>
      <c r="H319" s="129" t="n"/>
      <c r="I319" s="129" t="n"/>
      <c r="J319" s="129" t="n"/>
      <c r="L319" s="122" t="n"/>
    </row>
    <row r="320" ht="15.75" customFormat="1" customHeight="1" s="34">
      <c r="B320" s="127" t="inlineStr">
        <is>
          <t>Yones,SE,MM</t>
        </is>
      </c>
      <c r="D320" s="127" t="inlineStr">
        <is>
          <t>Asmawati, S.Farm., Apt.</t>
        </is>
      </c>
      <c r="G320" s="129" t="n"/>
      <c r="H320" s="128" t="inlineStr">
        <is>
          <t>SRI SUMIATI, SKM</t>
        </is>
      </c>
      <c r="J320" s="129" t="n"/>
      <c r="K320" s="128" t="inlineStr">
        <is>
          <t>Apt. Ahri Justiawan S.Farm</t>
        </is>
      </c>
    </row>
    <row r="321" ht="15.75" customFormat="1" customHeight="1" s="34">
      <c r="B321" s="124" t="inlineStr">
        <is>
          <t>Nip. 19740706 199903 1 007</t>
        </is>
      </c>
      <c r="D321" s="124" t="inlineStr">
        <is>
          <t>NIP. 19850906 200903 2006</t>
        </is>
      </c>
      <c r="G321" s="129" t="n"/>
      <c r="H321" s="129" t="inlineStr">
        <is>
          <t>NIP. 19720901 19910 3 2001</t>
        </is>
      </c>
      <c r="J321" s="129" t="n"/>
      <c r="K321" s="129" t="inlineStr">
        <is>
          <t>NIP. 19970317202421 1 002</t>
        </is>
      </c>
    </row>
    <row r="322" ht="15.75" customFormat="1" customHeight="1" s="34">
      <c r="B322" s="129" t="n"/>
      <c r="C322" s="122" t="n"/>
      <c r="D322" s="125" t="n"/>
      <c r="E322" s="129" t="n"/>
      <c r="F322" s="129" t="n"/>
      <c r="G322" s="129" t="n"/>
      <c r="H322" s="129" t="n"/>
      <c r="I322" s="129" t="n"/>
      <c r="J322" s="129" t="n"/>
      <c r="K322" s="129" t="n"/>
      <c r="L322" s="122" t="n"/>
    </row>
    <row r="323" ht="15" customFormat="1" customHeight="1" s="34"/>
    <row r="324" ht="15" customFormat="1" customHeight="1" s="34"/>
    <row r="325" ht="15" customFormat="1" customHeight="1" s="34"/>
    <row r="326" ht="12" customFormat="1" customHeight="1" s="34"/>
    <row r="327" ht="12" customFormat="1" customHeight="1" s="34"/>
    <row r="328" ht="12" customFormat="1" customHeight="1" s="34"/>
    <row r="329" ht="12" customFormat="1" customHeight="1" s="34"/>
    <row r="330" ht="15" customFormat="1" customHeight="1" s="2"/>
    <row r="331" ht="12" customFormat="1" customHeight="1" s="34"/>
    <row r="332" ht="12" customFormat="1" customHeight="1" s="2"/>
    <row r="333" ht="12" customFormat="1" customHeight="1" s="34"/>
    <row r="334" ht="12" customFormat="1" customHeight="1" s="34"/>
    <row r="335" ht="12" customFormat="1" customHeight="1" s="34"/>
    <row r="336" ht="12" customFormat="1" customHeight="1" s="34"/>
    <row r="337" ht="12" customFormat="1" customHeight="1" s="34"/>
    <row r="338" ht="12" customFormat="1" customHeight="1" s="34"/>
    <row r="339" ht="12" customFormat="1" customHeight="1" s="34"/>
    <row r="340" ht="12" customFormat="1" customHeight="1" s="34"/>
    <row r="341" ht="12" customFormat="1" customHeight="1" s="34"/>
    <row r="342" ht="12" customFormat="1" customHeight="1" s="34"/>
    <row r="343" ht="12" customFormat="1" customHeight="1" s="34"/>
    <row r="344" ht="12" customFormat="1" customHeight="1" s="34"/>
    <row r="345" ht="12" customFormat="1" customHeight="1" s="34"/>
    <row r="346" ht="12" customFormat="1" customHeight="1" s="34"/>
    <row r="347" ht="12" customFormat="1" customHeight="1" s="2"/>
    <row r="348" ht="12" customFormat="1" customHeight="1" s="34"/>
    <row r="349" ht="12" customFormat="1" customHeight="1" s="34"/>
    <row r="350" ht="12" customFormat="1" customHeight="1" s="34"/>
    <row r="351" ht="12" customFormat="1" customHeight="1" s="34"/>
    <row r="352" ht="12" customFormat="1" customHeight="1" s="34"/>
    <row r="353" ht="12" customFormat="1" customHeight="1" s="34"/>
    <row r="354" ht="12" customFormat="1" customHeight="1" s="34"/>
    <row r="355" ht="12" customFormat="1" customHeight="1" s="34"/>
    <row r="356" ht="12" customFormat="1" customHeight="1" s="34"/>
    <row r="357" ht="12" customFormat="1" customHeight="1" s="34"/>
    <row r="358" ht="12" customFormat="1" customHeight="1" s="34"/>
    <row r="359" ht="12" customFormat="1" customHeight="1" s="34"/>
    <row r="360" ht="12" customFormat="1" customHeight="1" s="34"/>
    <row r="361" ht="12" customFormat="1" customHeight="1" s="34"/>
    <row r="362" ht="12" customFormat="1" customHeight="1" s="34"/>
    <row r="363" ht="12" customFormat="1" customHeight="1" s="34"/>
    <row r="364" ht="12" customFormat="1" customHeight="1" s="34"/>
    <row r="365" ht="12" customFormat="1" customHeight="1" s="34"/>
    <row r="366" ht="12" customFormat="1" customHeight="1" s="34"/>
    <row r="367" ht="12" customFormat="1" customHeight="1" s="34"/>
    <row r="368" ht="12" customFormat="1" customHeight="1" s="34"/>
    <row r="369" ht="12" customFormat="1" customHeight="1" s="34"/>
    <row r="370" ht="12" customFormat="1" customHeight="1" s="34"/>
    <row r="371" ht="12" customFormat="1" customHeight="1" s="34"/>
    <row r="372" ht="12" customFormat="1" customHeight="1" s="34"/>
    <row r="373" ht="12" customFormat="1" customHeight="1" s="34"/>
    <row r="374" ht="12" customFormat="1" customHeight="1" s="34"/>
    <row r="375" ht="12" customFormat="1" customHeight="1" s="34"/>
    <row r="376" ht="12" customFormat="1" customHeight="1" s="34"/>
    <row r="377" ht="12" customFormat="1" customHeight="1" s="34"/>
    <row r="378" ht="12" customFormat="1" customHeight="1" s="34"/>
    <row r="379" ht="12" customFormat="1" customHeight="1" s="34"/>
    <row r="380" ht="12" customFormat="1" customHeight="1" s="34"/>
    <row r="381" ht="12" customFormat="1" customHeight="1" s="34"/>
    <row r="382" ht="12" customFormat="1" customHeight="1" s="34"/>
    <row r="383" ht="12" customFormat="1" customHeight="1" s="34"/>
    <row r="384" ht="12" customFormat="1" customHeight="1" s="34"/>
    <row r="385" ht="12" customFormat="1" customHeight="1" s="130"/>
    <row r="386" ht="25.5" customFormat="1" customHeight="1" s="130"/>
    <row r="387" ht="12" customFormat="1" customHeight="1" s="130"/>
    <row r="388" ht="12" customFormat="1" customHeight="1" s="130"/>
    <row r="389" ht="12" customFormat="1" customHeight="1" s="130"/>
    <row r="390" ht="12" customFormat="1" customHeight="1" s="130"/>
    <row r="391" ht="12" customFormat="1" customHeight="1" s="130"/>
    <row r="392" ht="12" customFormat="1" customHeight="1" s="130"/>
    <row r="393" ht="12" customFormat="1" customHeight="1" s="130"/>
    <row r="394" ht="12" customFormat="1" customHeight="1" s="130"/>
    <row r="395" ht="12" customFormat="1" customHeight="1" s="2"/>
    <row r="396" ht="12" customFormat="1" customHeight="1" s="2"/>
    <row r="397" ht="12" customFormat="1" customHeight="1" s="2"/>
    <row r="398" ht="12" customFormat="1" customHeight="1" s="2"/>
    <row r="399" ht="12" customFormat="1" customHeight="1" s="2"/>
    <row r="400" ht="12" customFormat="1" customHeight="1" s="2"/>
    <row r="401" ht="12.75" customFormat="1" customHeight="1" s="28"/>
    <row r="402" ht="17.1" customHeight="1"/>
    <row r="403" ht="17.1" customHeight="1"/>
    <row r="404" ht="17.1" customHeight="1"/>
    <row r="405" ht="17.1" customHeight="1"/>
    <row r="406" ht="17.1" customHeight="1"/>
    <row r="407" ht="17.1" customHeight="1"/>
    <row r="408" ht="17.1" customHeight="1"/>
    <row r="409" ht="17.1" customHeight="1"/>
    <row r="410" ht="17.1" customHeight="1"/>
    <row r="411" ht="17.1" customHeight="1"/>
    <row r="412" ht="17.1" customHeight="1"/>
    <row r="413" ht="17.1" customHeight="1"/>
    <row r="414" ht="17.1" customHeight="1"/>
    <row r="415" ht="17.1" customHeight="1"/>
    <row r="416" ht="17.1" customHeight="1"/>
    <row r="417" ht="17.1" customHeight="1"/>
    <row r="418" ht="17.1" customHeight="1"/>
    <row r="419" ht="17.1" customHeight="1"/>
    <row r="420" ht="17.1" customHeight="1"/>
    <row r="421" ht="17.1" customHeight="1"/>
    <row r="422" ht="17.1" customHeight="1"/>
    <row r="423" ht="17.1" customHeight="1"/>
    <row r="424" ht="17.1" customHeight="1"/>
    <row r="425" ht="17.1" customHeight="1"/>
    <row r="426" ht="17.1" customHeight="1"/>
    <row r="427" ht="17.1" customHeight="1"/>
    <row r="428" ht="17.1" customHeight="1"/>
    <row r="429" ht="17.1" customHeight="1"/>
    <row r="430" ht="17.1" customHeight="1"/>
    <row r="431" ht="17.1" customHeight="1"/>
    <row r="432" ht="17.1" customHeight="1"/>
  </sheetData>
  <mergeCells count="24">
    <mergeCell ref="D316:F316"/>
    <mergeCell ref="D321:F321"/>
    <mergeCell ref="B321:C321"/>
    <mergeCell ref="A3:C3"/>
    <mergeCell ref="B320:C320"/>
    <mergeCell ref="H315:I315"/>
    <mergeCell ref="H320:I320"/>
    <mergeCell ref="K315:L315"/>
    <mergeCell ref="C311:C312"/>
    <mergeCell ref="A5:C5"/>
    <mergeCell ref="K321:L321"/>
    <mergeCell ref="H316:I316"/>
    <mergeCell ref="A4:C4"/>
    <mergeCell ref="K320:L320"/>
    <mergeCell ref="F6:I6"/>
    <mergeCell ref="H321:I321"/>
    <mergeCell ref="K316:L316"/>
    <mergeCell ref="D315:F315"/>
    <mergeCell ref="F5:I5"/>
    <mergeCell ref="B316:C316"/>
    <mergeCell ref="A1:L1"/>
    <mergeCell ref="A6:C6"/>
    <mergeCell ref="D320:F320"/>
    <mergeCell ref="B315:C3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2026-07-02T06:47:00Z</dcterms:created>
  <dcterms:modified xmlns:dcterms="http://purl.org/dc/terms/" xmlns:xsi="http://www.w3.org/2001/XMLSchema-instance" xsi:type="dcterms:W3CDTF">2026-07-31T06:45:28Z</dcterms:modified>
  <cp:lastModifiedBy>USER</cp:lastModifiedBy>
</cp:coreProperties>
</file>